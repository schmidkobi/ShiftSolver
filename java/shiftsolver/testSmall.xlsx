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ilan\code\ShiftSolver\java\shiftsolver\"/>
    </mc:Choice>
  </mc:AlternateContent>
  <xr:revisionPtr revIDLastSave="0" documentId="13_ncr:1_{D667BCD3-4C28-4F9E-92DA-5C5328EC4FE4}" xr6:coauthVersionLast="47" xr6:coauthVersionMax="47" xr10:uidLastSave="{00000000-0000-0000-0000-000000000000}"/>
  <bookViews>
    <workbookView xWindow="-75" yWindow="-16320" windowWidth="29040" windowHeight="15990" activeTab="1" xr2:uid="{00000000-000D-0000-FFFF-FFFF00000000}"/>
  </bookViews>
  <sheets>
    <sheet name="Einstellungen" sheetId="5" r:id="rId1"/>
    <sheet name="Assistenten" sheetId="4" r:id="rId2"/>
  </sheets>
  <definedNames>
    <definedName name="_xlnm.Print_Area" localSheetId="1">Assistenten!$A$1:$H$40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C25" i="4"/>
  <c r="C26" i="4"/>
  <c r="C27" i="4"/>
  <c r="C28" i="4"/>
  <c r="C29" i="4"/>
  <c r="C30" i="4"/>
  <c r="C31" i="4"/>
  <c r="C32" i="4"/>
  <c r="C33" i="4"/>
  <c r="C34" i="4"/>
  <c r="C35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E39" i="4"/>
  <c r="F39" i="4"/>
  <c r="G39" i="4"/>
  <c r="A4" i="4"/>
  <c r="A6" i="4" s="1"/>
  <c r="A8" i="4" s="1"/>
  <c r="A10" i="4" s="1"/>
  <c r="A12" i="4" s="1"/>
  <c r="A14" i="4" s="1"/>
  <c r="A16" i="4" s="1"/>
  <c r="A18" i="4" s="1"/>
  <c r="A20" i="4" s="1"/>
  <c r="A22" i="4" s="1"/>
  <c r="A24" i="4" s="1"/>
  <c r="A26" i="4" s="1"/>
  <c r="A28" i="4" s="1"/>
  <c r="A30" i="4" s="1"/>
  <c r="A32" i="4" s="1"/>
  <c r="A34" i="4" s="1"/>
  <c r="D39" i="4"/>
</calcChain>
</file>

<file path=xl/sharedStrings.xml><?xml version="1.0" encoding="utf-8"?>
<sst xmlns="http://schemas.openxmlformats.org/spreadsheetml/2006/main" count="78" uniqueCount="33">
  <si>
    <t>ZEITEN</t>
  </si>
  <si>
    <t>KT</t>
  </si>
  <si>
    <t>16:30-20:00</t>
  </si>
  <si>
    <t>KN</t>
  </si>
  <si>
    <t>20:00-21:00+ 4 STD. NACHT+ 5:45-8:15</t>
  </si>
  <si>
    <t>LT</t>
  </si>
  <si>
    <t>13-20:00</t>
  </si>
  <si>
    <t>LN</t>
  </si>
  <si>
    <t>20:00-21:00+ 4 STD. NACHT+ 8:00-13:00</t>
  </si>
  <si>
    <t>MT</t>
  </si>
  <si>
    <t>15:30-20:00</t>
  </si>
  <si>
    <t>minimal</t>
  </si>
  <si>
    <t>maximal</t>
  </si>
  <si>
    <t>INSGESAMT</t>
  </si>
  <si>
    <t>Tag</t>
  </si>
  <si>
    <t>Dienst</t>
  </si>
  <si>
    <t>Belegung</t>
  </si>
  <si>
    <t>John Smith</t>
  </si>
  <si>
    <t>Dennis Dan</t>
  </si>
  <si>
    <t>Carla Culumna</t>
  </si>
  <si>
    <t>Bibi Blocksberg</t>
  </si>
  <si>
    <t>Doppelte Schichten</t>
  </si>
  <si>
    <t>Labels</t>
  </si>
  <si>
    <t>Shift Settings</t>
  </si>
  <si>
    <t>hours</t>
  </si>
  <si>
    <t>type</t>
  </si>
  <si>
    <t>header</t>
  </si>
  <si>
    <t>Assistenten Einstellungen</t>
  </si>
  <si>
    <t>employeeSettings</t>
  </si>
  <si>
    <t>minHours</t>
  </si>
  <si>
    <t>maxHours</t>
  </si>
  <si>
    <t>consecutiveShifts</t>
  </si>
  <si>
    <t>Unwanted Shift Patterns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</si>
</sst>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7]ddd/\ d/\ mmm"/>
  </numFmts>
  <fonts count="26" x14ac:knownFonts="1">
    <font>
      <sz val="11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7.5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charset val="1"/>
    </font>
    <font>
      <b/>
      <sz val="8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sz val="11"/>
      <color rgb="FF000000"/>
      <name val="Calibri"/>
      <family val="2"/>
    </font>
    <font>
      <sz val="11"/>
      <color rgb="FF242424"/>
      <name val="Aptos Narrow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E2F0DA"/>
        <bgColor indexed="64"/>
      </patternFill>
    </fill>
    <fill>
      <patternFill patternType="solid">
        <fgColor rgb="FFE2F1DB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C6E0B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E3F1DA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hair">
        <color indexed="64"/>
      </bottom>
      <diagonal/>
    </border>
    <border>
      <left style="medium">
        <color rgb="FF000000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/>
      <bottom style="thin">
        <color theme="0" tint="-0.14999847407452621"/>
      </bottom>
      <diagonal/>
    </border>
    <border>
      <left/>
      <right style="medium">
        <color rgb="FF000000"/>
      </right>
      <top style="thin">
        <color theme="0" tint="-0.14999847407452621"/>
      </top>
      <bottom style="thin">
        <color theme="0" tint="-0.14999847407452621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/>
      <bottom style="thin">
        <color theme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rgb="FF000000"/>
      </right>
      <top style="thin">
        <color theme="0" tint="-0.14999847407452621"/>
      </top>
      <bottom/>
      <diagonal/>
    </border>
  </borders>
  <cellStyleXfs count="1">
    <xf numFmtId="0" fontId="0" fillId="0" borderId="0"/>
  </cellStyleXfs>
  <cellXfs count="106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/>
    </xf>
    <xf numFmtId="0" fontId="0" fillId="0" borderId="3" xfId="0" applyBorder="1"/>
    <xf numFmtId="164" fontId="0" fillId="0" borderId="0" xfId="0" applyNumberFormat="1"/>
    <xf numFmtId="0" fontId="3" fillId="2" borderId="4" xfId="0" applyFont="1" applyFill="1" applyBorder="1" applyAlignment="1">
      <alignment horizontal="center" vertical="top" wrapText="1"/>
    </xf>
    <xf numFmtId="0" fontId="3" fillId="0" borderId="4" xfId="0" applyFont="1" applyBorder="1" applyAlignment="1">
      <alignment horizontal="center" vertical="top" wrapText="1"/>
    </xf>
    <xf numFmtId="0" fontId="3" fillId="0" borderId="6" xfId="0" applyFont="1" applyBorder="1" applyAlignment="1">
      <alignment horizontal="center" vertical="top" wrapText="1"/>
    </xf>
    <xf numFmtId="0" fontId="3" fillId="0" borderId="5" xfId="0" applyFont="1" applyBorder="1" applyAlignment="1">
      <alignment horizontal="center" vertical="top" wrapText="1"/>
    </xf>
    <xf numFmtId="0" fontId="3" fillId="7" borderId="5" xfId="0" applyFont="1" applyFill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7" borderId="7" xfId="0" applyFont="1" applyFill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top" wrapText="1"/>
    </xf>
    <xf numFmtId="0" fontId="3" fillId="7" borderId="6" xfId="0" applyFont="1" applyFill="1" applyBorder="1" applyAlignment="1">
      <alignment horizontal="center" vertical="top" wrapText="1"/>
    </xf>
    <xf numFmtId="0" fontId="3" fillId="7" borderId="4" xfId="0" applyFont="1" applyFill="1" applyBorder="1" applyAlignment="1">
      <alignment horizontal="center" vertical="top" wrapText="1"/>
    </xf>
    <xf numFmtId="0" fontId="3" fillId="2" borderId="6" xfId="0" applyFont="1" applyFill="1" applyBorder="1" applyAlignment="1">
      <alignment horizontal="center" vertical="top" wrapText="1"/>
    </xf>
    <xf numFmtId="0" fontId="1" fillId="4" borderId="9" xfId="0" applyFont="1" applyFill="1" applyBorder="1" applyAlignment="1">
      <alignment vertical="top" wrapText="1"/>
    </xf>
    <xf numFmtId="0" fontId="1" fillId="0" borderId="9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1" fillId="7" borderId="9" xfId="0" applyFont="1" applyFill="1" applyBorder="1" applyAlignment="1">
      <alignment vertical="top" wrapText="1"/>
    </xf>
    <xf numFmtId="0" fontId="1" fillId="7" borderId="8" xfId="0" applyFont="1" applyFill="1" applyBorder="1" applyAlignment="1">
      <alignment vertical="top" wrapText="1"/>
    </xf>
    <xf numFmtId="0" fontId="3" fillId="7" borderId="2" xfId="0" applyFont="1" applyFill="1" applyBorder="1" applyAlignment="1">
      <alignment horizontal="center" vertical="top" wrapText="1"/>
    </xf>
    <xf numFmtId="0" fontId="3" fillId="7" borderId="1" xfId="0" applyFont="1" applyFill="1" applyBorder="1" applyAlignment="1">
      <alignment horizontal="center" vertical="top" wrapText="1"/>
    </xf>
    <xf numFmtId="0" fontId="14" fillId="0" borderId="9" xfId="0" applyFont="1" applyBorder="1" applyAlignment="1">
      <alignment vertical="top" wrapText="1"/>
    </xf>
    <xf numFmtId="0" fontId="15" fillId="7" borderId="9" xfId="0" applyFont="1" applyFill="1" applyBorder="1" applyAlignment="1">
      <alignment vertical="top" wrapText="1"/>
    </xf>
    <xf numFmtId="0" fontId="3" fillId="0" borderId="0" xfId="0" applyFont="1" applyAlignment="1">
      <alignment horizontal="center" vertical="top" wrapText="1"/>
    </xf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 wrapText="1"/>
    </xf>
    <xf numFmtId="0" fontId="0" fillId="0" borderId="10" xfId="0" applyBorder="1"/>
    <xf numFmtId="164" fontId="4" fillId="0" borderId="11" xfId="0" applyNumberFormat="1" applyFont="1" applyBorder="1" applyAlignment="1">
      <alignment horizontal="center" wrapText="1"/>
    </xf>
    <xf numFmtId="0" fontId="4" fillId="0" borderId="20" xfId="0" applyFont="1" applyBorder="1" applyAlignment="1">
      <alignment wrapText="1"/>
    </xf>
    <xf numFmtId="0" fontId="0" fillId="6" borderId="0" xfId="0" applyFill="1" applyAlignment="1">
      <alignment horizontal="center"/>
    </xf>
    <xf numFmtId="0" fontId="0" fillId="6" borderId="0" xfId="0" applyFill="1"/>
    <xf numFmtId="0" fontId="13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7" fillId="6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12" fillId="6" borderId="0" xfId="0" applyFont="1" applyFill="1" applyAlignment="1">
      <alignment horizontal="center"/>
    </xf>
    <xf numFmtId="0" fontId="12" fillId="6" borderId="0" xfId="0" applyFont="1" applyFill="1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3" fillId="0" borderId="21" xfId="0" applyFont="1" applyBorder="1" applyAlignment="1">
      <alignment horizontal="center" vertical="top" wrapText="1"/>
    </xf>
    <xf numFmtId="0" fontId="3" fillId="0" borderId="22" xfId="0" applyFont="1" applyBorder="1" applyAlignment="1">
      <alignment horizontal="center" vertical="top" wrapText="1"/>
    </xf>
    <xf numFmtId="0" fontId="0" fillId="0" borderId="23" xfId="0" applyBorder="1"/>
    <xf numFmtId="0" fontId="0" fillId="0" borderId="24" xfId="0" applyBorder="1"/>
    <xf numFmtId="0" fontId="10" fillId="7" borderId="5" xfId="0" applyFont="1" applyFill="1" applyBorder="1" applyAlignment="1">
      <alignment horizontal="center" vertical="top" wrapText="1"/>
    </xf>
    <xf numFmtId="0" fontId="10" fillId="0" borderId="7" xfId="0" applyFont="1" applyBorder="1" applyAlignment="1">
      <alignment horizontal="center" vertical="top" wrapText="1"/>
    </xf>
    <xf numFmtId="0" fontId="10" fillId="4" borderId="7" xfId="0" applyFont="1" applyFill="1" applyBorder="1" applyAlignment="1">
      <alignment horizontal="center" vertical="top" wrapText="1"/>
    </xf>
    <xf numFmtId="0" fontId="10" fillId="0" borderId="5" xfId="0" applyFont="1" applyBorder="1" applyAlignment="1">
      <alignment horizontal="center" vertical="top" wrapText="1"/>
    </xf>
    <xf numFmtId="0" fontId="10" fillId="7" borderId="7" xfId="0" applyFont="1" applyFill="1" applyBorder="1" applyAlignment="1">
      <alignment horizontal="center" vertical="top" wrapText="1"/>
    </xf>
    <xf numFmtId="0" fontId="10" fillId="7" borderId="2" xfId="0" applyFont="1" applyFill="1" applyBorder="1" applyAlignment="1">
      <alignment horizontal="center" vertical="top" wrapText="1"/>
    </xf>
    <xf numFmtId="0" fontId="10" fillId="4" borderId="5" xfId="0" applyFont="1" applyFill="1" applyBorder="1" applyAlignment="1">
      <alignment horizontal="center" vertical="top" wrapText="1"/>
    </xf>
    <xf numFmtId="0" fontId="1" fillId="7" borderId="9" xfId="0" applyFont="1" applyFill="1" applyBorder="1" applyAlignment="1">
      <alignment horizontal="left" vertical="top" wrapText="1"/>
    </xf>
    <xf numFmtId="0" fontId="1" fillId="0" borderId="9" xfId="0" applyFont="1" applyBorder="1" applyAlignment="1">
      <alignment horizontal="left" vertical="top" wrapText="1"/>
    </xf>
    <xf numFmtId="164" fontId="0" fillId="6" borderId="0" xfId="0" applyNumberFormat="1" applyFill="1"/>
    <xf numFmtId="0" fontId="4" fillId="0" borderId="25" xfId="0" applyFont="1" applyBorder="1" applyAlignment="1">
      <alignment wrapText="1"/>
    </xf>
    <xf numFmtId="0" fontId="4" fillId="0" borderId="26" xfId="0" applyFont="1" applyBorder="1" applyAlignment="1">
      <alignment vertical="top" wrapText="1"/>
    </xf>
    <xf numFmtId="0" fontId="20" fillId="0" borderId="27" xfId="0" applyFont="1" applyBorder="1" applyAlignment="1">
      <alignment vertical="top" wrapText="1"/>
    </xf>
    <xf numFmtId="164" fontId="16" fillId="9" borderId="0" xfId="0" applyNumberFormat="1" applyFont="1" applyFill="1" applyAlignment="1">
      <alignment horizontal="center" wrapText="1"/>
    </xf>
    <xf numFmtId="0" fontId="16" fillId="9" borderId="0" xfId="0" applyFont="1" applyFill="1" applyAlignment="1">
      <alignment wrapText="1"/>
    </xf>
    <xf numFmtId="164" fontId="4" fillId="0" borderId="15" xfId="0" applyNumberFormat="1" applyFont="1" applyBorder="1" applyAlignment="1">
      <alignment vertical="top" wrapText="1"/>
    </xf>
    <xf numFmtId="0" fontId="4" fillId="9" borderId="29" xfId="0" applyFont="1" applyFill="1" applyBorder="1" applyAlignment="1">
      <alignment horizontal="center" vertical="top" wrapText="1"/>
    </xf>
    <xf numFmtId="164" fontId="9" fillId="0" borderId="30" xfId="0" applyNumberFormat="1" applyFont="1" applyBorder="1" applyAlignment="1">
      <alignment horizontal="center" vertical="top" wrapText="1"/>
    </xf>
    <xf numFmtId="164" fontId="9" fillId="0" borderId="31" xfId="0" applyNumberFormat="1" applyFont="1" applyBorder="1" applyAlignment="1">
      <alignment horizontal="center"/>
    </xf>
    <xf numFmtId="0" fontId="9" fillId="9" borderId="32" xfId="0" applyFont="1" applyFill="1" applyBorder="1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9" borderId="33" xfId="0" applyFont="1" applyFill="1" applyBorder="1" applyAlignment="1">
      <alignment horizontal="center"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9" borderId="33" xfId="0" applyFont="1" applyFill="1" applyBorder="1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9" borderId="34" xfId="0" applyFont="1" applyFill="1" applyBorder="1" applyAlignment="1">
      <alignment vertical="top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8" borderId="4" xfId="0" applyFont="1" applyFill="1" applyBorder="1" applyAlignment="1">
      <alignment horizontal="center"/>
    </xf>
    <xf numFmtId="0" fontId="8" fillId="8" borderId="35" xfId="0" applyFont="1" applyFill="1" applyBorder="1" applyAlignment="1">
      <alignment horizontal="center" vertical="top" wrapText="1"/>
    </xf>
    <xf numFmtId="0" fontId="8" fillId="8" borderId="36" xfId="0" applyFont="1" applyFill="1" applyBorder="1" applyAlignment="1">
      <alignment horizontal="center" vertical="top" wrapText="1"/>
    </xf>
    <xf numFmtId="0" fontId="8" fillId="8" borderId="37" xfId="0" applyFont="1" applyFill="1" applyBorder="1" applyAlignment="1">
      <alignment horizontal="center" vertical="top" wrapText="1"/>
    </xf>
    <xf numFmtId="0" fontId="7" fillId="8" borderId="38" xfId="0" applyFont="1" applyFill="1" applyBorder="1" applyAlignment="1">
      <alignment horizontal="center"/>
    </xf>
    <xf numFmtId="0" fontId="7" fillId="8" borderId="39" xfId="0" applyFont="1" applyFill="1" applyBorder="1" applyAlignment="1">
      <alignment horizontal="center"/>
    </xf>
    <xf numFmtId="0" fontId="10" fillId="0" borderId="40" xfId="0" applyFont="1" applyBorder="1" applyAlignment="1">
      <alignment horizontal="center" vertical="top" wrapText="1"/>
    </xf>
    <xf numFmtId="0" fontId="3" fillId="0" borderId="41" xfId="0" applyFont="1" applyBorder="1" applyAlignment="1">
      <alignment horizontal="center" vertical="top" wrapText="1"/>
    </xf>
    <xf numFmtId="0" fontId="3" fillId="0" borderId="42" xfId="0" applyFont="1" applyBorder="1" applyAlignment="1">
      <alignment horizontal="center" vertical="top" wrapText="1"/>
    </xf>
    <xf numFmtId="0" fontId="1" fillId="4" borderId="44" xfId="0" applyFont="1" applyFill="1" applyBorder="1" applyAlignment="1">
      <alignment vertical="top" wrapText="1"/>
    </xf>
    <xf numFmtId="0" fontId="0" fillId="0" borderId="45" xfId="0" applyBorder="1"/>
    <xf numFmtId="164" fontId="0" fillId="6" borderId="43" xfId="0" applyNumberFormat="1" applyFill="1" applyBorder="1"/>
    <xf numFmtId="0" fontId="0" fillId="6" borderId="43" xfId="0" applyFill="1" applyBorder="1"/>
    <xf numFmtId="0" fontId="0" fillId="10" borderId="0" xfId="0" applyFill="1"/>
    <xf numFmtId="0" fontId="23" fillId="10" borderId="0" xfId="0" applyFont="1" applyFill="1"/>
    <xf numFmtId="164" fontId="2" fillId="5" borderId="12" xfId="0" applyNumberFormat="1" applyFont="1" applyFill="1" applyBorder="1" applyAlignment="1">
      <alignment horizontal="center" vertical="top" wrapText="1"/>
    </xf>
    <xf numFmtId="164" fontId="2" fillId="5" borderId="13" xfId="0" applyNumberFormat="1" applyFont="1" applyFill="1" applyBorder="1" applyAlignment="1">
      <alignment horizontal="center" vertical="top" wrapText="1"/>
    </xf>
    <xf numFmtId="164" fontId="2" fillId="0" borderId="17" xfId="0" applyNumberFormat="1" applyFont="1" applyBorder="1" applyAlignment="1">
      <alignment horizontal="center" vertical="top" wrapText="1"/>
    </xf>
    <xf numFmtId="164" fontId="2" fillId="0" borderId="14" xfId="0" applyNumberFormat="1" applyFont="1" applyBorder="1" applyAlignment="1">
      <alignment horizontal="center" vertical="top" wrapText="1"/>
    </xf>
    <xf numFmtId="164" fontId="2" fillId="0" borderId="16" xfId="0" applyNumberFormat="1" applyFont="1" applyBorder="1" applyAlignment="1">
      <alignment horizontal="center" vertical="top" wrapText="1"/>
    </xf>
    <xf numFmtId="164" fontId="5" fillId="5" borderId="14" xfId="0" applyNumberFormat="1" applyFont="1" applyFill="1" applyBorder="1" applyAlignment="1">
      <alignment horizontal="center" vertical="top" wrapText="1"/>
    </xf>
    <xf numFmtId="164" fontId="5" fillId="5" borderId="15" xfId="0" applyNumberFormat="1" applyFont="1" applyFill="1" applyBorder="1" applyAlignment="1">
      <alignment horizontal="center" vertical="top" wrapText="1"/>
    </xf>
    <xf numFmtId="164" fontId="2" fillId="5" borderId="17" xfId="0" applyNumberFormat="1" applyFont="1" applyFill="1" applyBorder="1" applyAlignment="1">
      <alignment horizontal="center" vertical="top" wrapText="1"/>
    </xf>
    <xf numFmtId="164" fontId="2" fillId="0" borderId="18" xfId="0" applyNumberFormat="1" applyFont="1" applyBorder="1" applyAlignment="1">
      <alignment horizontal="center" vertical="top" wrapText="1"/>
    </xf>
    <xf numFmtId="164" fontId="2" fillId="0" borderId="19" xfId="0" applyNumberFormat="1" applyFont="1" applyBorder="1" applyAlignment="1">
      <alignment horizontal="center" vertical="top" wrapText="1"/>
    </xf>
    <xf numFmtId="0" fontId="0" fillId="0" borderId="0" xfId="0" applyFill="1"/>
    <xf numFmtId="0" fontId="17" fillId="0" borderId="0" xfId="0" applyFont="1" applyFill="1"/>
    <xf numFmtId="164" fontId="7" fillId="9" borderId="0" xfId="0" applyNumberFormat="1" applyFont="1" applyFill="1" applyAlignment="1">
      <alignment horizontal="left" vertical="top" wrapText="1"/>
    </xf>
    <xf numFmtId="164" fontId="7" fillId="9" borderId="28" xfId="0" applyNumberFormat="1" applyFont="1" applyFill="1" applyBorder="1" applyAlignment="1">
      <alignment horizontal="left" vertical="top" wrapText="1"/>
    </xf>
    <xf numFmtId="0" fontId="24" fillId="0" borderId="0" xfId="0" applyFont="1" applyAlignment="1">
      <alignment horizontal="center"/>
    </xf>
    <xf numFmtId="0" fontId="0" fillId="11" borderId="0" xfId="0" applyFill="1"/>
    <xf numFmtId="0" fontId="0" fillId="11" borderId="0" xfId="0" applyFill="1" applyAlignment="1">
      <alignment horizontal="center"/>
    </xf>
    <xf numFmtId="0" fontId="23" fillId="11" borderId="0" xfId="0" applyFont="1" applyFill="1" applyAlignment="1">
      <alignment horizontal="center"/>
    </xf>
    <xf numFmtId="0" fontId="24" fillId="11" borderId="0" xfId="0" applyFont="1" applyFill="1" applyAlignment="1">
      <alignment horizontal="center"/>
    </xf>
    <xf numFmtId="0" fontId="0" fillId="12" borderId="0" xfId="0" applyFill="1"/>
    <xf numFmtId="0" fontId="25" fillId="0" borderId="0" xfId="0" applyFont="1" applyAlignment="1">
      <alignment horizontal="center"/>
    </xf>
  </cellXfs>
  <cellStyles count="1">
    <cellStyle name="Standard" xfId="0" builtinId="0"/>
  </cellStyles>
  <dxfs count="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charset val="1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FF0000"/>
      <color rgb="FFC6E0B3"/>
      <color rgb="FFD2E0B2"/>
      <color rgb="FFBBD18B"/>
      <color rgb="FFADC773"/>
      <color rgb="FFE3F1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194F60-261E-4047-987E-E82513B8378B}" name="Tabelle1" displayName="Tabelle1" ref="A2:C8" totalsRowShown="0">
  <autoFilter ref="A2:C8" xr:uid="{E3194F60-261E-4047-987E-E82513B8378B}"/>
  <tableColumns count="3">
    <tableColumn id="1" xr3:uid="{C3F60418-CAFE-49E1-91DD-57C708FC5738}" name="type" dataDxfId="2"/>
    <tableColumn id="2" xr3:uid="{750EE8D3-1ED0-4BF0-96A0-CDED40563945}" name="hours" dataDxfId="1"/>
    <tableColumn id="3" xr3:uid="{0E6BC229-AEA4-424D-8AA4-C4127BF33559}" name="ZEITEN" dataDxfId="0"/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BB94B-508F-4E91-BF35-154F8BC54BB6}">
  <dimension ref="A1:D16"/>
  <sheetViews>
    <sheetView workbookViewId="0">
      <selection activeCell="B16" sqref="B16"/>
    </sheetView>
  </sheetViews>
  <sheetFormatPr baseColWidth="10" defaultColWidth="8.88671875" defaultRowHeight="14.4" x14ac:dyDescent="0.3"/>
  <cols>
    <col min="1" max="1" width="20.77734375" customWidth="1"/>
    <col min="2" max="2" width="11.88671875" bestFit="1" customWidth="1"/>
    <col min="3" max="3" width="70.88671875" customWidth="1"/>
    <col min="4" max="4" width="18" style="95" customWidth="1"/>
  </cols>
  <sheetData>
    <row r="1" spans="1:4" x14ac:dyDescent="0.3">
      <c r="A1" s="84" t="s">
        <v>23</v>
      </c>
      <c r="B1" s="83"/>
      <c r="C1" s="83"/>
      <c r="D1" s="100"/>
    </row>
    <row r="2" spans="1:4" x14ac:dyDescent="0.3">
      <c r="A2" s="105" t="s">
        <v>25</v>
      </c>
      <c r="B2" s="3" t="s">
        <v>24</v>
      </c>
      <c r="C2" s="41" t="s">
        <v>0</v>
      </c>
      <c r="D2" s="96"/>
    </row>
    <row r="3" spans="1:4" x14ac:dyDescent="0.3">
      <c r="A3" s="3" t="s">
        <v>1</v>
      </c>
      <c r="B3" s="3">
        <v>3.5</v>
      </c>
      <c r="C3" s="42" t="s">
        <v>2</v>
      </c>
    </row>
    <row r="4" spans="1:4" x14ac:dyDescent="0.3">
      <c r="A4" s="3" t="s">
        <v>3</v>
      </c>
      <c r="B4" s="3">
        <v>7.5</v>
      </c>
      <c r="C4" s="42" t="s">
        <v>4</v>
      </c>
    </row>
    <row r="5" spans="1:4" x14ac:dyDescent="0.3">
      <c r="A5" s="3" t="s">
        <v>5</v>
      </c>
      <c r="B5" s="3">
        <v>7</v>
      </c>
      <c r="C5" s="42" t="s">
        <v>6</v>
      </c>
    </row>
    <row r="6" spans="1:4" x14ac:dyDescent="0.3">
      <c r="A6" s="3" t="s">
        <v>7</v>
      </c>
      <c r="B6" s="3">
        <v>10</v>
      </c>
      <c r="C6" s="99" t="s">
        <v>8</v>
      </c>
    </row>
    <row r="7" spans="1:4" x14ac:dyDescent="0.3">
      <c r="A7" s="3" t="s">
        <v>9</v>
      </c>
      <c r="B7" s="3">
        <v>4.5</v>
      </c>
      <c r="C7" s="99" t="s">
        <v>10</v>
      </c>
    </row>
    <row r="8" spans="1:4" x14ac:dyDescent="0.3">
      <c r="A8" s="102" t="s">
        <v>32</v>
      </c>
      <c r="B8" s="101"/>
      <c r="C8" s="103"/>
      <c r="D8" s="100"/>
    </row>
    <row r="9" spans="1:4" x14ac:dyDescent="0.3">
      <c r="A9" s="3" t="s">
        <v>3</v>
      </c>
      <c r="B9" s="3" t="s">
        <v>1</v>
      </c>
      <c r="C9" s="3"/>
      <c r="D9" s="3"/>
    </row>
    <row r="10" spans="1:4" x14ac:dyDescent="0.3">
      <c r="A10" s="3" t="s">
        <v>3</v>
      </c>
      <c r="B10" s="3" t="s">
        <v>9</v>
      </c>
      <c r="C10" s="3"/>
      <c r="D10" s="3"/>
    </row>
    <row r="11" spans="1:4" x14ac:dyDescent="0.3">
      <c r="A11" s="84" t="s">
        <v>22</v>
      </c>
      <c r="B11" s="84"/>
      <c r="C11" s="84"/>
      <c r="D11" s="100"/>
    </row>
    <row r="12" spans="1:4" x14ac:dyDescent="0.3">
      <c r="A12" s="104" t="s">
        <v>26</v>
      </c>
      <c r="B12" t="s">
        <v>14</v>
      </c>
      <c r="C12" t="s">
        <v>15</v>
      </c>
      <c r="D12" s="95" t="s">
        <v>16</v>
      </c>
    </row>
    <row r="13" spans="1:4" x14ac:dyDescent="0.3">
      <c r="A13" s="104" t="s">
        <v>28</v>
      </c>
      <c r="B13" t="s">
        <v>27</v>
      </c>
    </row>
    <row r="14" spans="1:4" x14ac:dyDescent="0.3">
      <c r="A14" s="104" t="s">
        <v>29</v>
      </c>
      <c r="B14" t="s">
        <v>11</v>
      </c>
    </row>
    <row r="15" spans="1:4" x14ac:dyDescent="0.3">
      <c r="A15" s="104" t="s">
        <v>30</v>
      </c>
      <c r="B15" t="s">
        <v>12</v>
      </c>
    </row>
    <row r="16" spans="1:4" x14ac:dyDescent="0.3">
      <c r="A16" s="104" t="s">
        <v>31</v>
      </c>
      <c r="B16" t="s">
        <v>21</v>
      </c>
    </row>
  </sheetData>
  <dataValidations count="1">
    <dataValidation type="list" allowBlank="1" showInputMessage="1" showErrorMessage="1" sqref="A9:D10" xr:uid="{39985639-8F06-46F1-ACE0-21F6111E8987}">
      <formula1>$A$3:$A$8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E41"/>
  <sheetViews>
    <sheetView tabSelected="1" topLeftCell="A25" zoomScale="120" zoomScaleNormal="120" workbookViewId="0">
      <selection activeCell="G40" sqref="G40"/>
    </sheetView>
  </sheetViews>
  <sheetFormatPr baseColWidth="10" defaultColWidth="10.88671875" defaultRowHeight="14.4" x14ac:dyDescent="0.3"/>
  <cols>
    <col min="1" max="1" width="9.109375" style="5" customWidth="1"/>
    <col min="2" max="2" width="5.5546875" customWidth="1"/>
    <col min="3" max="3" width="10.33203125" customWidth="1"/>
    <col min="4" max="7" width="6.109375" customWidth="1"/>
    <col min="9" max="9" width="3" customWidth="1"/>
    <col min="10" max="10" width="4" customWidth="1"/>
    <col min="12" max="12" width="18.6640625" customWidth="1"/>
  </cols>
  <sheetData>
    <row r="1" spans="1:285" ht="23.25" customHeight="1" thickBot="1" x14ac:dyDescent="0.35">
      <c r="A1" s="30" t="s">
        <v>14</v>
      </c>
      <c r="B1" s="31" t="s">
        <v>15</v>
      </c>
      <c r="C1" s="57" t="s">
        <v>16</v>
      </c>
      <c r="D1" s="58" t="s">
        <v>20</v>
      </c>
      <c r="E1" s="59" t="s">
        <v>19</v>
      </c>
      <c r="F1" s="59" t="s">
        <v>18</v>
      </c>
      <c r="G1" s="59" t="s">
        <v>17</v>
      </c>
      <c r="H1" s="32"/>
    </row>
    <row r="2" spans="1:285" ht="14.25" customHeight="1" x14ac:dyDescent="0.35">
      <c r="A2" s="85">
        <v>45597</v>
      </c>
      <c r="B2" s="55" t="s">
        <v>5</v>
      </c>
      <c r="C2" s="45">
        <f t="shared" ref="C2:C35" si="0">COUNTIF(D2:G2,"&gt;1")</f>
        <v>2</v>
      </c>
      <c r="D2" s="44">
        <v>7</v>
      </c>
      <c r="E2" s="43"/>
      <c r="F2" s="44">
        <v>7</v>
      </c>
      <c r="G2" s="44"/>
      <c r="H2" s="34"/>
      <c r="I2" s="26"/>
    </row>
    <row r="3" spans="1:285" s="1" customFormat="1" ht="14.25" customHeight="1" x14ac:dyDescent="0.35">
      <c r="A3" s="86"/>
      <c r="B3" s="54" t="s">
        <v>7</v>
      </c>
      <c r="C3" s="46">
        <f t="shared" si="0"/>
        <v>2</v>
      </c>
      <c r="D3" s="15">
        <v>10</v>
      </c>
      <c r="E3" s="10"/>
      <c r="F3" s="15">
        <v>10</v>
      </c>
      <c r="G3" s="15"/>
      <c r="H3" s="34"/>
      <c r="I3" s="26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  <c r="HN3"/>
      <c r="HO3"/>
      <c r="HP3"/>
      <c r="HQ3"/>
      <c r="HR3"/>
      <c r="HS3"/>
      <c r="HT3"/>
      <c r="HU3"/>
      <c r="HV3"/>
      <c r="HW3"/>
      <c r="HX3"/>
      <c r="HY3"/>
      <c r="HZ3"/>
      <c r="IA3"/>
      <c r="IB3"/>
      <c r="IC3"/>
      <c r="ID3"/>
      <c r="IE3"/>
      <c r="IF3"/>
      <c r="IG3"/>
      <c r="IH3"/>
      <c r="II3"/>
      <c r="IJ3"/>
      <c r="IK3"/>
      <c r="IL3"/>
      <c r="IM3"/>
      <c r="IN3"/>
      <c r="IO3"/>
      <c r="IP3"/>
      <c r="IQ3"/>
      <c r="IR3"/>
      <c r="IS3"/>
      <c r="IT3"/>
      <c r="IU3"/>
      <c r="IV3"/>
      <c r="IW3"/>
      <c r="IX3"/>
      <c r="IY3"/>
      <c r="IZ3"/>
      <c r="JA3"/>
      <c r="JB3"/>
      <c r="JC3"/>
      <c r="JD3"/>
      <c r="JE3"/>
      <c r="JF3"/>
      <c r="JG3"/>
      <c r="JH3"/>
      <c r="JI3"/>
      <c r="JJ3"/>
      <c r="JK3"/>
      <c r="JL3"/>
      <c r="JM3"/>
      <c r="JN3"/>
      <c r="JO3"/>
      <c r="JP3"/>
      <c r="JQ3"/>
      <c r="JR3"/>
      <c r="JS3"/>
      <c r="JT3"/>
      <c r="JU3"/>
      <c r="JV3"/>
      <c r="JW3"/>
      <c r="JX3"/>
      <c r="JY3"/>
    </row>
    <row r="4" spans="1:285" ht="14.25" customHeight="1" x14ac:dyDescent="0.3">
      <c r="A4" s="90">
        <f>A2+1</f>
        <v>45598</v>
      </c>
      <c r="B4" s="18" t="s">
        <v>5</v>
      </c>
      <c r="C4" s="46">
        <f t="shared" si="0"/>
        <v>3</v>
      </c>
      <c r="D4" s="8">
        <v>7</v>
      </c>
      <c r="E4" s="11"/>
      <c r="F4" s="8">
        <v>7</v>
      </c>
      <c r="G4" s="8">
        <v>7</v>
      </c>
      <c r="H4" s="32"/>
      <c r="I4" s="26"/>
    </row>
    <row r="5" spans="1:285" s="2" customFormat="1" ht="14.25" customHeight="1" x14ac:dyDescent="0.3">
      <c r="A5" s="91"/>
      <c r="B5" s="17" t="s">
        <v>7</v>
      </c>
      <c r="C5" s="46">
        <f t="shared" si="0"/>
        <v>3</v>
      </c>
      <c r="D5" s="49"/>
      <c r="E5" s="12">
        <v>10</v>
      </c>
      <c r="F5" s="14">
        <v>10</v>
      </c>
      <c r="G5" s="14">
        <v>10</v>
      </c>
      <c r="H5" s="32"/>
      <c r="I5" s="26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  <c r="HC5"/>
      <c r="HD5"/>
      <c r="HE5"/>
      <c r="HF5"/>
      <c r="HG5"/>
      <c r="HH5"/>
      <c r="HI5"/>
      <c r="HJ5"/>
      <c r="HK5"/>
      <c r="HL5"/>
      <c r="HM5"/>
      <c r="HN5"/>
      <c r="HO5"/>
      <c r="HP5"/>
      <c r="HQ5"/>
      <c r="HR5"/>
      <c r="HS5"/>
      <c r="HT5"/>
      <c r="HU5"/>
      <c r="HV5"/>
      <c r="HW5"/>
      <c r="HX5"/>
      <c r="HY5"/>
      <c r="HZ5"/>
      <c r="IA5"/>
      <c r="IB5"/>
      <c r="IC5"/>
      <c r="ID5"/>
      <c r="IE5"/>
      <c r="IF5"/>
      <c r="IG5"/>
      <c r="IH5"/>
      <c r="II5"/>
      <c r="IJ5"/>
      <c r="IK5"/>
      <c r="IL5"/>
      <c r="IM5"/>
      <c r="IN5"/>
      <c r="IO5"/>
      <c r="IP5"/>
      <c r="IQ5"/>
      <c r="IR5"/>
      <c r="IS5"/>
      <c r="IT5"/>
      <c r="IU5"/>
      <c r="IV5"/>
      <c r="IW5"/>
      <c r="IX5"/>
      <c r="IY5"/>
      <c r="IZ5"/>
      <c r="JA5"/>
      <c r="JB5"/>
      <c r="JC5"/>
      <c r="JD5"/>
      <c r="JE5"/>
      <c r="JF5"/>
      <c r="JG5"/>
      <c r="JH5"/>
      <c r="JI5"/>
      <c r="JJ5"/>
      <c r="JK5"/>
      <c r="JL5"/>
      <c r="JM5"/>
      <c r="JN5"/>
      <c r="JO5"/>
      <c r="JP5"/>
      <c r="JQ5"/>
      <c r="JR5"/>
      <c r="JS5"/>
      <c r="JT5"/>
      <c r="JU5"/>
      <c r="JV5"/>
      <c r="JW5"/>
      <c r="JX5"/>
      <c r="JY5"/>
    </row>
    <row r="6" spans="1:285" ht="14.25" customHeight="1" x14ac:dyDescent="0.3">
      <c r="A6" s="90">
        <f>A4+1</f>
        <v>45599</v>
      </c>
      <c r="B6" s="18" t="s">
        <v>5</v>
      </c>
      <c r="C6" s="46">
        <f t="shared" si="0"/>
        <v>2</v>
      </c>
      <c r="D6" s="48">
        <v>7</v>
      </c>
      <c r="E6" s="11"/>
      <c r="F6" s="8">
        <v>7</v>
      </c>
      <c r="G6" s="8"/>
      <c r="H6" s="35"/>
      <c r="I6" s="26"/>
    </row>
    <row r="7" spans="1:285" s="1" customFormat="1" ht="14.25" customHeight="1" x14ac:dyDescent="0.3">
      <c r="A7" s="91"/>
      <c r="B7" s="17" t="s">
        <v>3</v>
      </c>
      <c r="C7" s="46">
        <f t="shared" si="0"/>
        <v>3</v>
      </c>
      <c r="D7" s="49">
        <v>7.5</v>
      </c>
      <c r="E7" s="12">
        <v>7.5</v>
      </c>
      <c r="F7" s="12">
        <v>7.5</v>
      </c>
      <c r="G7" s="16"/>
      <c r="H7" s="32"/>
      <c r="I7" s="26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  <c r="HC7"/>
      <c r="HD7"/>
      <c r="HE7"/>
      <c r="HF7"/>
      <c r="HG7"/>
      <c r="HH7"/>
      <c r="HI7"/>
      <c r="HJ7"/>
      <c r="HK7"/>
      <c r="HL7"/>
      <c r="HM7"/>
      <c r="HN7"/>
      <c r="HO7"/>
      <c r="HP7"/>
      <c r="HQ7"/>
      <c r="HR7"/>
      <c r="HS7"/>
      <c r="HT7"/>
      <c r="HU7"/>
      <c r="HV7"/>
      <c r="HW7"/>
      <c r="HX7"/>
      <c r="HY7"/>
      <c r="HZ7"/>
      <c r="IA7"/>
      <c r="IB7"/>
      <c r="IC7"/>
      <c r="ID7"/>
      <c r="IE7"/>
      <c r="IF7"/>
      <c r="IG7"/>
      <c r="IH7"/>
      <c r="II7"/>
      <c r="IJ7"/>
      <c r="IK7"/>
      <c r="IL7"/>
      <c r="IM7"/>
      <c r="IN7"/>
      <c r="IO7"/>
      <c r="IP7"/>
      <c r="IQ7"/>
      <c r="IR7"/>
      <c r="IS7"/>
      <c r="IT7"/>
      <c r="IU7"/>
      <c r="IV7"/>
      <c r="IW7"/>
      <c r="IX7"/>
      <c r="IY7"/>
      <c r="IZ7"/>
      <c r="JA7"/>
      <c r="JB7"/>
      <c r="JC7"/>
      <c r="JD7"/>
      <c r="JE7"/>
      <c r="JF7"/>
      <c r="JG7"/>
      <c r="JH7"/>
      <c r="JI7"/>
      <c r="JJ7"/>
      <c r="JK7"/>
      <c r="JL7"/>
      <c r="JM7"/>
      <c r="JN7"/>
      <c r="JO7"/>
      <c r="JP7"/>
      <c r="JQ7"/>
      <c r="JR7"/>
      <c r="JS7"/>
      <c r="JT7"/>
      <c r="JU7"/>
      <c r="JV7"/>
      <c r="JW7"/>
      <c r="JX7"/>
      <c r="JY7"/>
    </row>
    <row r="8" spans="1:285" ht="14.25" customHeight="1" x14ac:dyDescent="0.3">
      <c r="A8" s="88">
        <f>A6+1</f>
        <v>45600</v>
      </c>
      <c r="B8" s="18" t="s">
        <v>1</v>
      </c>
      <c r="C8" s="46">
        <f t="shared" si="0"/>
        <v>3</v>
      </c>
      <c r="D8" s="50"/>
      <c r="E8" s="9">
        <v>3.5</v>
      </c>
      <c r="F8" s="9">
        <v>3.5</v>
      </c>
      <c r="G8" s="9">
        <v>3.5</v>
      </c>
      <c r="H8" s="32"/>
      <c r="I8" s="26"/>
    </row>
    <row r="9" spans="1:285" s="1" customFormat="1" ht="14.25" customHeight="1" x14ac:dyDescent="0.3">
      <c r="A9" s="89"/>
      <c r="B9" s="17" t="s">
        <v>3</v>
      </c>
      <c r="C9" s="46">
        <f t="shared" si="0"/>
        <v>3</v>
      </c>
      <c r="D9" s="49"/>
      <c r="E9" s="13">
        <v>7.5</v>
      </c>
      <c r="F9" s="13">
        <v>7.5</v>
      </c>
      <c r="G9" s="13">
        <v>7.5</v>
      </c>
      <c r="H9" s="32"/>
      <c r="I9" s="26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  <c r="HC9"/>
      <c r="HD9"/>
      <c r="HE9"/>
      <c r="HF9"/>
      <c r="HG9"/>
      <c r="HH9"/>
      <c r="HI9"/>
      <c r="HJ9"/>
      <c r="HK9"/>
      <c r="HL9"/>
      <c r="HM9"/>
      <c r="HN9"/>
      <c r="HO9"/>
      <c r="HP9"/>
      <c r="HQ9"/>
      <c r="HR9"/>
      <c r="HS9"/>
      <c r="HT9"/>
      <c r="HU9"/>
      <c r="HV9"/>
      <c r="HW9"/>
      <c r="HX9"/>
      <c r="HY9"/>
      <c r="HZ9"/>
      <c r="IA9"/>
      <c r="IB9"/>
      <c r="IC9"/>
      <c r="ID9"/>
      <c r="IE9"/>
      <c r="IF9"/>
      <c r="IG9"/>
      <c r="IH9"/>
      <c r="II9"/>
      <c r="IJ9"/>
      <c r="IK9"/>
      <c r="IL9"/>
      <c r="IM9"/>
      <c r="IN9"/>
      <c r="IO9"/>
      <c r="IP9"/>
      <c r="IQ9"/>
      <c r="IR9"/>
      <c r="IS9"/>
      <c r="IT9"/>
      <c r="IU9"/>
      <c r="IV9"/>
      <c r="IW9"/>
      <c r="IX9"/>
      <c r="IY9"/>
      <c r="IZ9"/>
      <c r="JA9"/>
      <c r="JB9"/>
      <c r="JC9"/>
      <c r="JD9"/>
      <c r="JE9"/>
      <c r="JF9"/>
      <c r="JG9"/>
      <c r="JH9"/>
      <c r="JI9"/>
      <c r="JJ9"/>
      <c r="JK9"/>
      <c r="JL9"/>
      <c r="JM9"/>
      <c r="JN9"/>
      <c r="JO9"/>
      <c r="JP9"/>
      <c r="JQ9"/>
      <c r="JR9"/>
      <c r="JS9"/>
      <c r="JT9"/>
      <c r="JU9"/>
      <c r="JV9"/>
      <c r="JW9"/>
      <c r="JX9"/>
      <c r="JY9"/>
    </row>
    <row r="10" spans="1:285" ht="14.25" customHeight="1" x14ac:dyDescent="0.3">
      <c r="A10" s="87">
        <f>A8+1</f>
        <v>45601</v>
      </c>
      <c r="B10" s="18" t="s">
        <v>1</v>
      </c>
      <c r="C10" s="46">
        <f t="shared" si="0"/>
        <v>2</v>
      </c>
      <c r="D10" s="48"/>
      <c r="E10" s="11">
        <v>3.5</v>
      </c>
      <c r="F10" s="11">
        <v>3.5</v>
      </c>
      <c r="G10" s="11"/>
      <c r="H10" s="36"/>
      <c r="I10" s="26"/>
    </row>
    <row r="11" spans="1:285" s="1" customFormat="1" ht="14.25" customHeight="1" x14ac:dyDescent="0.3">
      <c r="A11" s="87"/>
      <c r="B11" s="17" t="s">
        <v>3</v>
      </c>
      <c r="C11" s="46">
        <f t="shared" si="0"/>
        <v>2</v>
      </c>
      <c r="D11" s="49"/>
      <c r="E11" s="13">
        <v>7.5</v>
      </c>
      <c r="F11" s="13">
        <v>7.5</v>
      </c>
      <c r="G11" s="13"/>
      <c r="H11" s="36"/>
      <c r="I11" s="26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  <c r="HC11"/>
      <c r="HD11"/>
      <c r="HE11"/>
      <c r="HF11"/>
      <c r="HG11"/>
      <c r="HH11"/>
      <c r="HI11"/>
      <c r="HJ11"/>
      <c r="HK11"/>
      <c r="HL11"/>
      <c r="HM11"/>
      <c r="HN11"/>
      <c r="HO11"/>
      <c r="HP11"/>
      <c r="HQ11"/>
      <c r="HR11"/>
      <c r="HS11"/>
      <c r="HT11"/>
      <c r="HU11"/>
      <c r="HV11"/>
      <c r="HW11"/>
      <c r="HX11"/>
      <c r="HY11"/>
      <c r="HZ11"/>
      <c r="IA11"/>
      <c r="IB11"/>
      <c r="IC11"/>
      <c r="ID11"/>
      <c r="IE11"/>
      <c r="IF11"/>
      <c r="IG11"/>
      <c r="IH11"/>
      <c r="II11"/>
      <c r="IJ11"/>
      <c r="IK11"/>
      <c r="IL11"/>
      <c r="IM11"/>
      <c r="IN11"/>
      <c r="IO11"/>
      <c r="IP11"/>
      <c r="IQ11"/>
      <c r="IR11"/>
      <c r="IS11"/>
      <c r="IT11"/>
      <c r="IU11"/>
      <c r="IV11"/>
      <c r="IW11"/>
      <c r="IX11"/>
      <c r="IY11"/>
      <c r="IZ11"/>
      <c r="JA11"/>
      <c r="JB11"/>
      <c r="JC11"/>
      <c r="JD11"/>
      <c r="JE11"/>
      <c r="JF11"/>
      <c r="JG11"/>
      <c r="JH11"/>
      <c r="JI11"/>
      <c r="JJ11"/>
      <c r="JK11"/>
      <c r="JL11"/>
      <c r="JM11"/>
      <c r="JN11"/>
      <c r="JO11"/>
      <c r="JP11"/>
      <c r="JQ11"/>
      <c r="JR11"/>
      <c r="JS11"/>
      <c r="JT11"/>
      <c r="JU11"/>
      <c r="JV11"/>
      <c r="JW11"/>
      <c r="JX11"/>
      <c r="JY11"/>
    </row>
    <row r="12" spans="1:285" ht="14.25" customHeight="1" x14ac:dyDescent="0.3">
      <c r="A12" s="87">
        <f>A10+1</f>
        <v>45602</v>
      </c>
      <c r="B12" s="19" t="s">
        <v>1</v>
      </c>
      <c r="C12" s="46">
        <f t="shared" si="0"/>
        <v>1</v>
      </c>
      <c r="D12" s="11"/>
      <c r="E12" s="11"/>
      <c r="F12" s="8"/>
      <c r="G12" s="9">
        <v>3.5</v>
      </c>
      <c r="H12" s="32"/>
      <c r="I12" s="26"/>
    </row>
    <row r="13" spans="1:285" s="1" customFormat="1" ht="14.25" customHeight="1" x14ac:dyDescent="0.3">
      <c r="A13" s="87"/>
      <c r="B13" s="17" t="s">
        <v>3</v>
      </c>
      <c r="C13" s="46">
        <f t="shared" si="0"/>
        <v>1</v>
      </c>
      <c r="D13" s="49"/>
      <c r="E13" s="13"/>
      <c r="F13" s="16"/>
      <c r="G13" s="13">
        <v>7.5</v>
      </c>
      <c r="H13" s="32"/>
      <c r="I13" s="26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  <c r="HC13"/>
      <c r="HD13"/>
      <c r="HE13"/>
      <c r="HF13"/>
      <c r="HG13"/>
      <c r="HH13"/>
      <c r="HI13"/>
      <c r="HJ13"/>
      <c r="HK13"/>
      <c r="HL13"/>
      <c r="HM13"/>
      <c r="HN13"/>
      <c r="HO13"/>
      <c r="HP13"/>
      <c r="HQ13"/>
      <c r="HR13"/>
      <c r="HS13"/>
      <c r="HT13"/>
      <c r="HU13"/>
      <c r="HV13"/>
      <c r="HW13"/>
      <c r="HX13"/>
      <c r="HY13"/>
      <c r="HZ13"/>
      <c r="IA13"/>
      <c r="IB13"/>
      <c r="IC13"/>
      <c r="ID13"/>
      <c r="IE13"/>
      <c r="IF13"/>
      <c r="IG13"/>
      <c r="IH13"/>
      <c r="II13"/>
      <c r="IJ13"/>
      <c r="IK13"/>
      <c r="IL13"/>
      <c r="IM13"/>
      <c r="IN13"/>
      <c r="IO13"/>
      <c r="IP13"/>
      <c r="IQ13"/>
      <c r="IR13"/>
      <c r="IS13"/>
      <c r="IT13"/>
      <c r="IU13"/>
      <c r="IV13"/>
      <c r="IW13"/>
      <c r="IX13"/>
      <c r="IY13"/>
      <c r="IZ13"/>
      <c r="JA13"/>
      <c r="JB13"/>
      <c r="JC13"/>
      <c r="JD13"/>
      <c r="JE13"/>
      <c r="JF13"/>
      <c r="JG13"/>
      <c r="JH13"/>
      <c r="JI13"/>
      <c r="JJ13"/>
      <c r="JK13"/>
      <c r="JL13"/>
      <c r="JM13"/>
      <c r="JN13"/>
      <c r="JO13"/>
      <c r="JP13"/>
      <c r="JQ13"/>
      <c r="JR13"/>
      <c r="JS13"/>
      <c r="JT13"/>
      <c r="JU13"/>
      <c r="JV13"/>
      <c r="JW13"/>
      <c r="JX13"/>
      <c r="JY13"/>
    </row>
    <row r="14" spans="1:285" ht="14.25" customHeight="1" x14ac:dyDescent="0.3">
      <c r="A14" s="87">
        <f>A12+1</f>
        <v>45603</v>
      </c>
      <c r="B14" s="18" t="s">
        <v>1</v>
      </c>
      <c r="C14" s="46">
        <f t="shared" si="0"/>
        <v>2</v>
      </c>
      <c r="D14" s="48"/>
      <c r="E14" s="11">
        <v>3.5</v>
      </c>
      <c r="F14" s="8"/>
      <c r="G14" s="11">
        <v>3.5</v>
      </c>
      <c r="H14" s="32"/>
      <c r="I14" s="26"/>
    </row>
    <row r="15" spans="1:285" s="1" customFormat="1" ht="14.25" customHeight="1" x14ac:dyDescent="0.3">
      <c r="A15" s="87"/>
      <c r="B15" s="20" t="s">
        <v>3</v>
      </c>
      <c r="C15" s="46">
        <f t="shared" si="0"/>
        <v>2</v>
      </c>
      <c r="D15" s="51"/>
      <c r="E15" s="13">
        <v>7.5</v>
      </c>
      <c r="F15" s="16"/>
      <c r="G15" s="13">
        <v>7.5</v>
      </c>
      <c r="H15" s="32"/>
      <c r="I15" s="26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  <c r="HC15"/>
      <c r="HD15"/>
      <c r="HE15"/>
      <c r="HF15"/>
      <c r="HG15"/>
      <c r="HH15"/>
      <c r="HI15"/>
      <c r="HJ15"/>
      <c r="HK15"/>
      <c r="HL15"/>
      <c r="HM15"/>
      <c r="HN15"/>
      <c r="HO15"/>
      <c r="HP15"/>
      <c r="HQ15"/>
      <c r="HR15"/>
      <c r="HS15"/>
      <c r="HT15"/>
      <c r="HU15"/>
      <c r="HV15"/>
      <c r="HW15"/>
      <c r="HX15"/>
      <c r="HY15"/>
      <c r="HZ15"/>
      <c r="IA15"/>
      <c r="IB15"/>
      <c r="IC15"/>
      <c r="ID15"/>
      <c r="IE15"/>
      <c r="IF15"/>
      <c r="IG15"/>
      <c r="IH15"/>
      <c r="II15"/>
      <c r="IJ15"/>
      <c r="IK15"/>
      <c r="IL15"/>
      <c r="IM15"/>
      <c r="IN15"/>
      <c r="IO15"/>
      <c r="IP15"/>
      <c r="IQ15"/>
      <c r="IR15"/>
      <c r="IS15"/>
      <c r="IT15"/>
      <c r="IU15"/>
      <c r="IV15"/>
      <c r="IW15"/>
      <c r="IX15"/>
      <c r="IY15"/>
      <c r="IZ15"/>
      <c r="JA15"/>
      <c r="JB15"/>
      <c r="JC15"/>
      <c r="JD15"/>
      <c r="JE15"/>
      <c r="JF15"/>
      <c r="JG15"/>
      <c r="JH15"/>
      <c r="JI15"/>
      <c r="JJ15"/>
      <c r="JK15"/>
      <c r="JL15"/>
      <c r="JM15"/>
      <c r="JN15"/>
      <c r="JO15"/>
      <c r="JP15"/>
      <c r="JQ15"/>
      <c r="JR15"/>
      <c r="JS15"/>
      <c r="JT15"/>
      <c r="JU15"/>
      <c r="JV15"/>
      <c r="JW15"/>
      <c r="JX15"/>
      <c r="JY15"/>
    </row>
    <row r="16" spans="1:285" ht="14.25" customHeight="1" x14ac:dyDescent="0.3">
      <c r="A16" s="87">
        <f>A14+1</f>
        <v>45604</v>
      </c>
      <c r="B16" s="18" t="s">
        <v>9</v>
      </c>
      <c r="C16" s="46">
        <f t="shared" si="0"/>
        <v>2</v>
      </c>
      <c r="D16" s="48">
        <v>4.5</v>
      </c>
      <c r="E16" s="11"/>
      <c r="F16" s="8">
        <v>4.5</v>
      </c>
      <c r="G16" s="8"/>
      <c r="H16" s="37"/>
      <c r="I16" s="27"/>
    </row>
    <row r="17" spans="1:291" ht="14.25" customHeight="1" x14ac:dyDescent="0.3">
      <c r="A17" s="87"/>
      <c r="B17" s="20" t="s">
        <v>7</v>
      </c>
      <c r="C17" s="46">
        <f t="shared" si="0"/>
        <v>3</v>
      </c>
      <c r="D17" s="47">
        <v>10</v>
      </c>
      <c r="E17" s="10">
        <v>10</v>
      </c>
      <c r="F17" s="15">
        <v>10</v>
      </c>
      <c r="G17" s="15"/>
      <c r="H17" s="38"/>
      <c r="I17" s="28"/>
    </row>
    <row r="18" spans="1:291" ht="14.25" customHeight="1" x14ac:dyDescent="0.3">
      <c r="A18" s="92">
        <f>A16+1</f>
        <v>45605</v>
      </c>
      <c r="B18" s="18" t="s">
        <v>5</v>
      </c>
      <c r="C18" s="46">
        <f t="shared" si="0"/>
        <v>2</v>
      </c>
      <c r="D18" s="50">
        <v>7</v>
      </c>
      <c r="E18" s="9"/>
      <c r="F18" s="7">
        <v>7</v>
      </c>
      <c r="G18" s="7"/>
      <c r="H18" s="32"/>
      <c r="I18" s="26"/>
    </row>
    <row r="19" spans="1:291" ht="14.25" customHeight="1" x14ac:dyDescent="0.3">
      <c r="A19" s="92"/>
      <c r="B19" s="21" t="s">
        <v>7</v>
      </c>
      <c r="C19" s="46">
        <f t="shared" si="0"/>
        <v>2</v>
      </c>
      <c r="D19" s="52">
        <v>10</v>
      </c>
      <c r="E19" s="22"/>
      <c r="F19" s="23"/>
      <c r="G19" s="52">
        <v>10</v>
      </c>
      <c r="H19" s="32"/>
      <c r="I19" s="26"/>
    </row>
    <row r="20" spans="1:291" ht="14.25" customHeight="1" x14ac:dyDescent="0.3">
      <c r="A20" s="92">
        <f>A18+1</f>
        <v>45606</v>
      </c>
      <c r="B20" s="18" t="s">
        <v>5</v>
      </c>
      <c r="C20" s="46">
        <f t="shared" si="0"/>
        <v>2</v>
      </c>
      <c r="D20" s="48">
        <v>7</v>
      </c>
      <c r="E20" s="11"/>
      <c r="F20" s="8"/>
      <c r="G20" s="48">
        <v>7</v>
      </c>
      <c r="H20" s="32"/>
      <c r="I20" s="26"/>
    </row>
    <row r="21" spans="1:291" ht="14.25" customHeight="1" x14ac:dyDescent="0.3">
      <c r="A21" s="92"/>
      <c r="B21" s="20" t="s">
        <v>3</v>
      </c>
      <c r="C21" s="46">
        <f t="shared" si="0"/>
        <v>3</v>
      </c>
      <c r="D21" s="12">
        <v>7.5</v>
      </c>
      <c r="E21" s="12">
        <v>7.5</v>
      </c>
      <c r="F21" s="14"/>
      <c r="G21" s="12">
        <v>7.5</v>
      </c>
      <c r="H21" s="32"/>
      <c r="I21" s="26"/>
    </row>
    <row r="22" spans="1:291" ht="14.25" customHeight="1" x14ac:dyDescent="0.3">
      <c r="A22" s="87">
        <f>A20+1</f>
        <v>45607</v>
      </c>
      <c r="B22" s="18" t="s">
        <v>1</v>
      </c>
      <c r="C22" s="46">
        <f t="shared" si="0"/>
        <v>3</v>
      </c>
      <c r="D22" s="11">
        <v>3.5</v>
      </c>
      <c r="E22" s="11">
        <v>3.5</v>
      </c>
      <c r="F22" s="8"/>
      <c r="G22" s="11">
        <v>3.5</v>
      </c>
      <c r="H22" s="32"/>
      <c r="I22" s="26"/>
    </row>
    <row r="23" spans="1:291" ht="14.25" customHeight="1" x14ac:dyDescent="0.3">
      <c r="A23" s="87"/>
      <c r="B23" s="20" t="s">
        <v>3</v>
      </c>
      <c r="C23" s="46">
        <f t="shared" si="0"/>
        <v>3</v>
      </c>
      <c r="D23" s="12">
        <v>7.5</v>
      </c>
      <c r="E23" s="12">
        <v>7.5</v>
      </c>
      <c r="F23" s="14"/>
      <c r="G23" s="12">
        <v>7.5</v>
      </c>
      <c r="H23" s="32"/>
      <c r="I23" s="26"/>
    </row>
    <row r="24" spans="1:291" ht="14.25" customHeight="1" x14ac:dyDescent="0.3">
      <c r="A24" s="87">
        <f>A22+1</f>
        <v>45608</v>
      </c>
      <c r="B24" s="18" t="s">
        <v>1</v>
      </c>
      <c r="C24" s="46">
        <f t="shared" si="0"/>
        <v>3</v>
      </c>
      <c r="D24" s="9">
        <v>3.5</v>
      </c>
      <c r="E24" s="9">
        <v>3.5</v>
      </c>
      <c r="F24" s="7">
        <v>3.5</v>
      </c>
      <c r="G24" s="7"/>
      <c r="H24" s="32"/>
      <c r="I24" s="26"/>
    </row>
    <row r="25" spans="1:291" ht="14.25" customHeight="1" x14ac:dyDescent="0.3">
      <c r="A25" s="87"/>
      <c r="B25" s="25" t="s">
        <v>3</v>
      </c>
      <c r="C25" s="46">
        <f t="shared" si="0"/>
        <v>3</v>
      </c>
      <c r="D25" s="10">
        <v>7.5</v>
      </c>
      <c r="E25" s="10">
        <v>7.5</v>
      </c>
      <c r="F25" s="15">
        <v>7.5</v>
      </c>
      <c r="G25" s="15"/>
      <c r="H25" s="32"/>
      <c r="I25" s="26"/>
    </row>
    <row r="26" spans="1:291" s="4" customFormat="1" ht="14.25" customHeight="1" thickBot="1" x14ac:dyDescent="0.35">
      <c r="A26" s="87">
        <f>A24+1</f>
        <v>45609</v>
      </c>
      <c r="B26" s="24" t="s">
        <v>1</v>
      </c>
      <c r="C26" s="46">
        <f t="shared" si="0"/>
        <v>3</v>
      </c>
      <c r="D26" s="11">
        <v>3.5</v>
      </c>
      <c r="E26" s="11">
        <v>3.5</v>
      </c>
      <c r="F26" s="8"/>
      <c r="G26" s="11">
        <v>3.5</v>
      </c>
      <c r="H26" s="39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  <c r="HC26"/>
      <c r="HD26"/>
      <c r="HE26"/>
      <c r="HF26"/>
      <c r="HG26"/>
      <c r="HH26"/>
      <c r="HI26"/>
      <c r="HJ26"/>
      <c r="HK26"/>
      <c r="HL26"/>
      <c r="HM26"/>
      <c r="HN26"/>
      <c r="HO26"/>
      <c r="HP26"/>
      <c r="HQ26"/>
      <c r="HR26"/>
      <c r="HS26"/>
      <c r="HT26"/>
      <c r="HU26"/>
      <c r="HV26"/>
      <c r="HW26"/>
      <c r="HX26"/>
      <c r="HY26"/>
      <c r="HZ26"/>
      <c r="IA26"/>
      <c r="IB26"/>
      <c r="IC26"/>
      <c r="ID26"/>
      <c r="IE26"/>
      <c r="IF26"/>
      <c r="IG26"/>
      <c r="IH26"/>
      <c r="II26"/>
      <c r="IJ26"/>
      <c r="IK26"/>
      <c r="IL26"/>
      <c r="IM26"/>
      <c r="IN26"/>
      <c r="IO26"/>
      <c r="IP26"/>
      <c r="IQ26"/>
      <c r="IR26"/>
      <c r="IS26"/>
      <c r="IT26"/>
      <c r="IU26"/>
      <c r="IV26"/>
      <c r="IW26"/>
      <c r="IX26"/>
      <c r="IY26"/>
      <c r="IZ26"/>
      <c r="JA26"/>
      <c r="JB26"/>
      <c r="JC26"/>
      <c r="JD26"/>
      <c r="JE26"/>
      <c r="JF26"/>
      <c r="JG26"/>
      <c r="JH26"/>
      <c r="JI26"/>
      <c r="JJ26"/>
      <c r="JK26"/>
      <c r="JL26"/>
      <c r="JM26"/>
      <c r="JN26"/>
      <c r="JO26"/>
      <c r="JP26"/>
      <c r="JQ26"/>
      <c r="JR26"/>
      <c r="JS26"/>
      <c r="JT26"/>
      <c r="JU26"/>
      <c r="JV26"/>
      <c r="JW26"/>
      <c r="JX26"/>
      <c r="JY26"/>
      <c r="JZ26"/>
      <c r="KA26"/>
      <c r="KB26"/>
      <c r="KC26"/>
      <c r="KD26"/>
      <c r="KE26" s="29"/>
    </row>
    <row r="27" spans="1:291" ht="14.25" customHeight="1" x14ac:dyDescent="0.3">
      <c r="A27" s="87"/>
      <c r="B27" s="17" t="s">
        <v>3</v>
      </c>
      <c r="C27" s="46">
        <f t="shared" si="0"/>
        <v>3</v>
      </c>
      <c r="D27" s="13">
        <v>7.5</v>
      </c>
      <c r="E27" s="13">
        <v>7.5</v>
      </c>
      <c r="F27" s="16"/>
      <c r="G27" s="13">
        <v>7.5</v>
      </c>
      <c r="H27" s="40"/>
    </row>
    <row r="28" spans="1:291" ht="14.25" customHeight="1" x14ac:dyDescent="0.3">
      <c r="A28" s="88">
        <f>A26+1</f>
        <v>45610</v>
      </c>
      <c r="B28" s="18" t="s">
        <v>1</v>
      </c>
      <c r="C28" s="46">
        <f t="shared" si="0"/>
        <v>3</v>
      </c>
      <c r="D28" s="11">
        <v>3.5</v>
      </c>
      <c r="E28" s="11">
        <v>3.5</v>
      </c>
      <c r="F28" s="8"/>
      <c r="G28" s="11">
        <v>3.5</v>
      </c>
      <c r="H28" s="33"/>
    </row>
    <row r="29" spans="1:291" ht="14.25" customHeight="1" x14ac:dyDescent="0.3">
      <c r="A29" s="89"/>
      <c r="B29" s="20" t="s">
        <v>3</v>
      </c>
      <c r="C29" s="46">
        <f t="shared" si="0"/>
        <v>3</v>
      </c>
      <c r="D29" s="13">
        <v>7.5</v>
      </c>
      <c r="E29" s="13">
        <v>7.5</v>
      </c>
      <c r="F29" s="16"/>
      <c r="G29" s="13">
        <v>7.5</v>
      </c>
      <c r="H29" s="33"/>
    </row>
    <row r="30" spans="1:291" ht="14.25" customHeight="1" x14ac:dyDescent="0.3">
      <c r="A30" s="93">
        <f>A28+1</f>
        <v>45611</v>
      </c>
      <c r="B30" s="18" t="s">
        <v>9</v>
      </c>
      <c r="C30" s="46">
        <f t="shared" si="0"/>
        <v>3</v>
      </c>
      <c r="D30" s="47">
        <v>10</v>
      </c>
      <c r="E30" s="48">
        <v>4.5</v>
      </c>
      <c r="F30" s="8"/>
      <c r="G30" s="48">
        <v>4.5</v>
      </c>
      <c r="H30" s="33"/>
    </row>
    <row r="31" spans="1:291" ht="14.25" customHeight="1" x14ac:dyDescent="0.3">
      <c r="A31" s="94"/>
      <c r="B31" s="20" t="s">
        <v>7</v>
      </c>
      <c r="C31" s="46">
        <f t="shared" si="0"/>
        <v>3</v>
      </c>
      <c r="D31" s="50">
        <v>7</v>
      </c>
      <c r="E31" s="47">
        <v>10</v>
      </c>
      <c r="F31" s="15"/>
      <c r="G31" s="47">
        <v>10</v>
      </c>
      <c r="H31" s="33"/>
    </row>
    <row r="32" spans="1:291" ht="14.25" customHeight="1" x14ac:dyDescent="0.3">
      <c r="A32" s="92">
        <f>A30+1</f>
        <v>45612</v>
      </c>
      <c r="B32" s="18" t="s">
        <v>5</v>
      </c>
      <c r="C32" s="46">
        <f t="shared" si="0"/>
        <v>3</v>
      </c>
      <c r="D32" s="52">
        <v>10</v>
      </c>
      <c r="E32" s="50">
        <v>7</v>
      </c>
      <c r="F32" s="7"/>
      <c r="G32" s="50">
        <v>7</v>
      </c>
      <c r="H32" s="33"/>
    </row>
    <row r="33" spans="1:8" ht="14.25" customHeight="1" x14ac:dyDescent="0.3">
      <c r="A33" s="92"/>
      <c r="B33" s="17" t="s">
        <v>7</v>
      </c>
      <c r="C33" s="46">
        <f t="shared" si="0"/>
        <v>3</v>
      </c>
      <c r="D33" s="53"/>
      <c r="E33" s="52">
        <v>10</v>
      </c>
      <c r="F33" s="6">
        <v>10</v>
      </c>
      <c r="G33" s="52">
        <v>10</v>
      </c>
      <c r="H33" s="33"/>
    </row>
    <row r="34" spans="1:8" ht="14.25" customHeight="1" x14ac:dyDescent="0.3">
      <c r="A34" s="92">
        <f>A32+1</f>
        <v>45613</v>
      </c>
      <c r="B34" s="18" t="s">
        <v>5</v>
      </c>
      <c r="C34" s="46">
        <f t="shared" si="0"/>
        <v>3</v>
      </c>
      <c r="D34" s="50"/>
      <c r="E34" s="48">
        <v>7</v>
      </c>
      <c r="F34" s="7">
        <v>7</v>
      </c>
      <c r="G34" s="48">
        <v>7</v>
      </c>
      <c r="H34" s="33"/>
    </row>
    <row r="35" spans="1:8" ht="14.25" customHeight="1" x14ac:dyDescent="0.3">
      <c r="A35" s="85"/>
      <c r="B35" s="79" t="s">
        <v>3</v>
      </c>
      <c r="C35" s="80">
        <f t="shared" si="0"/>
        <v>2</v>
      </c>
      <c r="D35" s="49"/>
      <c r="E35" s="12">
        <v>7.5</v>
      </c>
      <c r="F35" s="16"/>
      <c r="G35" s="12">
        <v>7.5</v>
      </c>
      <c r="H35" s="33"/>
    </row>
    <row r="36" spans="1:8" ht="15" thickBot="1" x14ac:dyDescent="0.35">
      <c r="A36" s="81"/>
      <c r="B36" s="82"/>
      <c r="C36" s="82"/>
      <c r="D36" s="82"/>
      <c r="E36" s="82"/>
      <c r="F36" s="82"/>
      <c r="G36" s="82"/>
      <c r="H36" s="33"/>
    </row>
    <row r="37" spans="1:8" x14ac:dyDescent="0.3">
      <c r="A37" s="97" t="s">
        <v>27</v>
      </c>
      <c r="B37" s="98"/>
      <c r="C37" s="64" t="s">
        <v>11</v>
      </c>
      <c r="D37" s="71">
        <v>10</v>
      </c>
      <c r="E37" s="72">
        <v>30</v>
      </c>
      <c r="F37" s="72">
        <v>40</v>
      </c>
      <c r="G37" s="73">
        <v>50</v>
      </c>
      <c r="H37" s="32"/>
    </row>
    <row r="38" spans="1:8" x14ac:dyDescent="0.3">
      <c r="A38" s="97"/>
      <c r="B38" s="98"/>
      <c r="C38" s="65" t="s">
        <v>12</v>
      </c>
      <c r="D38" s="74">
        <v>100</v>
      </c>
      <c r="E38" s="70">
        <v>100</v>
      </c>
      <c r="F38" s="70">
        <v>80</v>
      </c>
      <c r="G38" s="75">
        <v>120</v>
      </c>
      <c r="H38" s="32"/>
    </row>
    <row r="39" spans="1:8" ht="15" thickBot="1" x14ac:dyDescent="0.35">
      <c r="A39" s="97"/>
      <c r="B39" s="98"/>
      <c r="C39" s="62" t="s">
        <v>13</v>
      </c>
      <c r="D39" s="76">
        <f>SUM(D2:D35)</f>
        <v>155.5</v>
      </c>
      <c r="E39" s="77">
        <f>SUM(E2:E35)</f>
        <v>158</v>
      </c>
      <c r="F39" s="77">
        <f>SUM(F2:F35)</f>
        <v>120</v>
      </c>
      <c r="G39" s="78">
        <f>SUM(G2:G35)</f>
        <v>153.5</v>
      </c>
      <c r="H39" s="32"/>
    </row>
    <row r="40" spans="1:8" ht="21" customHeight="1" thickBot="1" x14ac:dyDescent="0.35">
      <c r="A40" s="60"/>
      <c r="B40" s="61"/>
      <c r="C40" s="63" t="s">
        <v>21</v>
      </c>
      <c r="D40" s="66" t="b">
        <v>1</v>
      </c>
      <c r="E40" s="67" t="b">
        <v>1</v>
      </c>
      <c r="F40" s="68" t="b">
        <v>1</v>
      </c>
      <c r="G40" s="69" t="b">
        <v>1</v>
      </c>
      <c r="H40" s="32"/>
    </row>
    <row r="41" spans="1:8" x14ac:dyDescent="0.3">
      <c r="A41" s="56"/>
      <c r="B41" s="33"/>
      <c r="C41" s="33"/>
      <c r="D41" s="33"/>
      <c r="E41" s="33"/>
      <c r="F41" s="33"/>
      <c r="G41" s="33"/>
      <c r="H41" s="33"/>
    </row>
  </sheetData>
  <mergeCells count="18">
    <mergeCell ref="A16:A17"/>
    <mergeCell ref="A37:B39"/>
    <mergeCell ref="A34:A35"/>
    <mergeCell ref="A18:A19"/>
    <mergeCell ref="A20:A21"/>
    <mergeCell ref="A22:A23"/>
    <mergeCell ref="A26:A27"/>
    <mergeCell ref="A28:A29"/>
    <mergeCell ref="A24:A25"/>
    <mergeCell ref="A30:A31"/>
    <mergeCell ref="A32:A33"/>
    <mergeCell ref="A2:A3"/>
    <mergeCell ref="A14:A15"/>
    <mergeCell ref="A8:A9"/>
    <mergeCell ref="A4:A5"/>
    <mergeCell ref="A6:A7"/>
    <mergeCell ref="A10:A11"/>
    <mergeCell ref="A12:A13"/>
  </mergeCells>
  <conditionalFormatting sqref="C2:C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custom" allowBlank="1" showInputMessage="1" showErrorMessage="1" sqref="N18" xr:uid="{3D067F5A-C1B0-47E2-9708-DE19C73BC1E4}">
      <formula1>""</formula1>
    </dataValidation>
    <dataValidation type="whole" operator="greaterThan" allowBlank="1" showInputMessage="1" showErrorMessage="1" sqref="D37:G38" xr:uid="{569F6F03-640E-43C6-AC2D-F6D731A3819E}">
      <formula1>0</formula1>
    </dataValidation>
  </dataValidations>
  <pageMargins left="0.7" right="0.7" top="0.78740157499999996" bottom="0.78740157499999996" header="0.3" footer="0.3"/>
  <pageSetup paperSize="9" orientation="landscape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5093BE6-B5F1-4BD8-BF17-6040816B3FE3}">
          <x14:formula1>
            <xm:f>Einstellungen!$A$3:$A$7</xm:f>
          </x14:formula1>
          <xm:sqref>B2:B35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1</vt:i4>
      </vt:variant>
    </vt:vector>
  </HeadingPairs>
  <TitlesOfParts>
    <vt:vector size="3" baseType="lpstr">
      <vt:lpstr>Einstellungen</vt:lpstr>
      <vt:lpstr>Assistenten</vt:lpstr>
      <vt:lpstr>Assistenten!Druckbereich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Milan Schmidle</cp:lastModifiedBy>
  <cp:revision/>
  <dcterms:created xsi:type="dcterms:W3CDTF">2021-05-01T07:58:25Z</dcterms:created>
  <dcterms:modified xsi:type="dcterms:W3CDTF">2026-01-14T14:26:16Z</dcterms:modified>
  <cp:category/>
  <cp:contentStatus/>
</cp:coreProperties>
</file>