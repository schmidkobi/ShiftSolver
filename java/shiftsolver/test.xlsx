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705a045a364eb3/Documents/Unterlagen/Sammy/"/>
    </mc:Choice>
  </mc:AlternateContent>
  <xr:revisionPtr revIDLastSave="20" documentId="8_{F7B85F1E-3368-4441-8F15-5B3AA3CC716A}" xr6:coauthVersionLast="47" xr6:coauthVersionMax="47" xr10:uidLastSave="{B5AE84E7-0041-4953-B77F-0A184F6D64EA}"/>
  <bookViews>
    <workbookView xWindow="-108" yWindow="-108" windowWidth="23256" windowHeight="12720" activeTab="1" xr2:uid="{00000000-000D-0000-FFFF-FFFF00000000}"/>
  </bookViews>
  <sheets>
    <sheet name="Dienste" sheetId="5" r:id="rId1"/>
    <sheet name="Assistenten" sheetId="4" r:id="rId2"/>
  </sheets>
  <definedNames>
    <definedName name="_xlnm.Print_Area" localSheetId="1">Assistenten!$A$1:$S$66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58" i="4" s="1"/>
  <c r="A60" i="4" s="1"/>
  <c r="D65" i="4"/>
</calcChain>
</file>

<file path=xl/sharedStrings.xml><?xml version="1.0" encoding="utf-8"?>
<sst xmlns="http://schemas.openxmlformats.org/spreadsheetml/2006/main" count="136" uniqueCount="40">
  <si>
    <t>ABKUERZUNG</t>
  </si>
  <si>
    <t>STUNDEN</t>
  </si>
  <si>
    <t>ZEITEN</t>
  </si>
  <si>
    <t>KT</t>
  </si>
  <si>
    <t>16:30-20:00</t>
  </si>
  <si>
    <t>KN</t>
  </si>
  <si>
    <t>20:00-21:00+ 4 STD. NACHT+ 5:45-8:15</t>
  </si>
  <si>
    <t>LT</t>
  </si>
  <si>
    <t>13-20:00</t>
  </si>
  <si>
    <t>LN</t>
  </si>
  <si>
    <t>20:00-21:00+ 4 STD. NACHT+ 8:00-13:00</t>
  </si>
  <si>
    <t>MT</t>
  </si>
  <si>
    <t>15:30-20:00</t>
  </si>
  <si>
    <t>Antonia Moeckel</t>
  </si>
  <si>
    <t>Clara Reihlen-Börgers</t>
  </si>
  <si>
    <t>Dennis Saidov</t>
  </si>
  <si>
    <t>Dominic Nußbaum</t>
  </si>
  <si>
    <t>Hannah Galler</t>
  </si>
  <si>
    <t>Joshua Hechinger</t>
  </si>
  <si>
    <t>Katharina Schleth</t>
  </si>
  <si>
    <t>Lena Neubrand</t>
  </si>
  <si>
    <t>Lisa Gabriel</t>
  </si>
  <si>
    <t>Louisa John</t>
  </si>
  <si>
    <t>Lydia Hauer</t>
  </si>
  <si>
    <t>Maria Scherer</t>
  </si>
  <si>
    <t>Melanie Gaiser</t>
  </si>
  <si>
    <t>Milan Schmidle</t>
  </si>
  <si>
    <t>Eltern</t>
  </si>
  <si>
    <t>minimal</t>
  </si>
  <si>
    <t>maximal</t>
  </si>
  <si>
    <t>INSGESAMT</t>
  </si>
  <si>
    <t>Tag</t>
  </si>
  <si>
    <t>Dienst</t>
  </si>
  <si>
    <t>Belegung</t>
  </si>
  <si>
    <t>U</t>
  </si>
  <si>
    <t xml:space="preserve">KT
</t>
  </si>
  <si>
    <t xml:space="preserve">KN </t>
  </si>
  <si>
    <t>S</t>
  </si>
  <si>
    <t>A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</si>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</sst>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dd/\ d/\ mmm"/>
  </numFmts>
  <fonts count="25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F0DA"/>
        <bgColor indexed="64"/>
      </patternFill>
    </fill>
    <fill>
      <patternFill patternType="solid">
        <fgColor rgb="FFE2F1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F1DA"/>
        <bgColor indexed="64"/>
      </patternFill>
    </fill>
    <fill>
      <patternFill patternType="solid">
        <fgColor theme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theme="0" tint="-0.14999847407452621"/>
      </left>
      <right style="hair">
        <color theme="0" tint="-0.1499984740745262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rgb="FF000000"/>
      </bottom>
      <diagonal/>
    </border>
    <border>
      <left/>
      <right style="medium">
        <color indexed="64"/>
      </right>
      <top style="medium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hair">
        <color indexed="64"/>
      </bottom>
      <diagonal/>
    </border>
    <border>
      <left style="medium">
        <color rgb="FF000000"/>
      </left>
      <right/>
      <top style="hair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medium">
        <color rgb="FF000000"/>
      </right>
      <top style="medium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3" xfId="0" applyBorder="1"/>
    <xf numFmtId="164" fontId="0" fillId="0" borderId="0" xfId="0" applyNumberFormat="1"/>
    <xf numFmtId="0" fontId="3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9" xfId="0" applyBorder="1"/>
    <xf numFmtId="0" fontId="3" fillId="0" borderId="6" xfId="0" applyFont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8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8" borderId="6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" fillId="8" borderId="10" xfId="0" applyFont="1" applyFill="1" applyBorder="1" applyAlignment="1">
      <alignment vertical="top" wrapText="1"/>
    </xf>
    <xf numFmtId="0" fontId="3" fillId="0" borderId="12" xfId="0" applyFont="1" applyBorder="1" applyAlignment="1">
      <alignment horizontal="center" vertical="top" wrapText="1"/>
    </xf>
    <xf numFmtId="0" fontId="3" fillId="8" borderId="12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7" fillId="9" borderId="11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0" fontId="1" fillId="8" borderId="8" xfId="0" applyFont="1" applyFill="1" applyBorder="1" applyAlignment="1">
      <alignment vertical="top" wrapText="1"/>
    </xf>
    <xf numFmtId="0" fontId="3" fillId="8" borderId="2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4" xfId="0" applyFont="1" applyFill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8" borderId="15" xfId="0" applyFont="1" applyFill="1" applyBorder="1" applyAlignment="1">
      <alignment horizontal="center" vertical="top" wrapText="1"/>
    </xf>
    <xf numFmtId="0" fontId="3" fillId="0" borderId="16" xfId="0" applyFont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15" fillId="0" borderId="10" xfId="0" applyFont="1" applyBorder="1" applyAlignment="1">
      <alignment vertical="top" wrapText="1"/>
    </xf>
    <xf numFmtId="0" fontId="16" fillId="8" borderId="10" xfId="0" applyFont="1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9" fillId="0" borderId="18" xfId="0" applyNumberFormat="1" applyFont="1" applyBorder="1" applyAlignment="1">
      <alignment horizontal="center" vertical="top" wrapText="1"/>
    </xf>
    <xf numFmtId="0" fontId="8" fillId="9" borderId="19" xfId="0" applyFont="1" applyFill="1" applyBorder="1" applyAlignment="1">
      <alignment horizontal="center" vertical="top" wrapText="1"/>
    </xf>
    <xf numFmtId="0" fontId="7" fillId="9" borderId="19" xfId="0" applyFont="1" applyFill="1" applyBorder="1" applyAlignment="1">
      <alignment horizontal="center" vertical="top" wrapText="1"/>
    </xf>
    <xf numFmtId="0" fontId="8" fillId="9" borderId="20" xfId="0" applyFont="1" applyFill="1" applyBorder="1" applyAlignment="1">
      <alignment horizontal="center" vertical="top" wrapText="1"/>
    </xf>
    <xf numFmtId="164" fontId="9" fillId="0" borderId="21" xfId="0" applyNumberFormat="1" applyFont="1" applyBorder="1" applyAlignment="1">
      <alignment horizontal="center"/>
    </xf>
    <xf numFmtId="0" fontId="7" fillId="9" borderId="22" xfId="0" applyFont="1" applyFill="1" applyBorder="1" applyAlignment="1">
      <alignment horizontal="center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7" fillId="9" borderId="25" xfId="0" applyFont="1" applyFill="1" applyBorder="1" applyAlignment="1">
      <alignment horizontal="center"/>
    </xf>
    <xf numFmtId="0" fontId="10" fillId="0" borderId="26" xfId="0" applyFont="1" applyBorder="1" applyAlignment="1">
      <alignment horizontal="center" vertical="top" wrapText="1"/>
    </xf>
    <xf numFmtId="0" fontId="0" fillId="0" borderId="27" xfId="0" applyBorder="1"/>
    <xf numFmtId="164" fontId="4" fillId="0" borderId="28" xfId="0" applyNumberFormat="1" applyFont="1" applyBorder="1" applyAlignment="1">
      <alignment vertical="top" wrapText="1"/>
    </xf>
    <xf numFmtId="164" fontId="4" fillId="0" borderId="29" xfId="0" applyNumberFormat="1" applyFont="1" applyBorder="1" applyAlignment="1">
      <alignment horizontal="center" wrapText="1"/>
    </xf>
    <xf numFmtId="0" fontId="3" fillId="0" borderId="31" xfId="0" applyFont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3" fillId="8" borderId="34" xfId="0" applyFont="1" applyFill="1" applyBorder="1" applyAlignment="1">
      <alignment horizontal="center" vertical="top" wrapText="1"/>
    </xf>
    <xf numFmtId="0" fontId="3" fillId="8" borderId="31" xfId="0" applyFont="1" applyFill="1" applyBorder="1" applyAlignment="1">
      <alignment horizontal="center" vertical="top" wrapText="1"/>
    </xf>
    <xf numFmtId="0" fontId="3" fillId="8" borderId="38" xfId="0" applyFont="1" applyFill="1" applyBorder="1" applyAlignment="1">
      <alignment horizontal="center" vertical="top" wrapText="1"/>
    </xf>
    <xf numFmtId="0" fontId="3" fillId="8" borderId="41" xfId="0" applyFont="1" applyFill="1" applyBorder="1" applyAlignment="1">
      <alignment horizontal="center" vertical="top" wrapText="1"/>
    </xf>
    <xf numFmtId="164" fontId="2" fillId="4" borderId="30" xfId="0" applyNumberFormat="1" applyFont="1" applyFill="1" applyBorder="1" applyAlignment="1">
      <alignment horizontal="center" vertical="top" wrapText="1"/>
    </xf>
    <xf numFmtId="0" fontId="3" fillId="4" borderId="31" xfId="0" applyFont="1" applyFill="1" applyBorder="1" applyAlignment="1">
      <alignment horizontal="center" vertical="top" wrapText="1"/>
    </xf>
    <xf numFmtId="164" fontId="2" fillId="4" borderId="32" xfId="0" applyNumberFormat="1" applyFont="1" applyFill="1" applyBorder="1" applyAlignment="1">
      <alignment horizontal="center" vertical="top" wrapText="1"/>
    </xf>
    <xf numFmtId="0" fontId="1" fillId="5" borderId="44" xfId="0" applyFont="1" applyFill="1" applyBorder="1" applyAlignment="1">
      <alignment vertical="top" wrapText="1"/>
    </xf>
    <xf numFmtId="0" fontId="3" fillId="8" borderId="45" xfId="0" applyFont="1" applyFill="1" applyBorder="1" applyAlignment="1">
      <alignment horizontal="center" vertical="top" wrapText="1"/>
    </xf>
    <xf numFmtId="0" fontId="3" fillId="2" borderId="46" xfId="0" applyFont="1" applyFill="1" applyBorder="1" applyAlignment="1">
      <alignment horizontal="center" vertical="top" wrapText="1"/>
    </xf>
    <xf numFmtId="0" fontId="3" fillId="8" borderId="46" xfId="0" applyFont="1" applyFill="1" applyBorder="1" applyAlignment="1">
      <alignment horizontal="center" vertical="top" wrapText="1"/>
    </xf>
    <xf numFmtId="0" fontId="3" fillId="8" borderId="47" xfId="0" applyFont="1" applyFill="1" applyBorder="1" applyAlignment="1">
      <alignment horizontal="center" vertical="top" wrapText="1"/>
    </xf>
    <xf numFmtId="0" fontId="4" fillId="0" borderId="48" xfId="0" applyFont="1" applyBorder="1" applyAlignment="1">
      <alignment wrapText="1"/>
    </xf>
    <xf numFmtId="0" fontId="17" fillId="7" borderId="0" xfId="0" applyFont="1" applyFill="1" applyAlignment="1">
      <alignment wrapText="1"/>
    </xf>
    <xf numFmtId="164" fontId="18" fillId="7" borderId="0" xfId="0" applyNumberFormat="1" applyFont="1" applyFill="1"/>
    <xf numFmtId="0" fontId="19" fillId="7" borderId="0" xfId="0" applyFont="1" applyFill="1" applyAlignment="1">
      <alignment horizontal="center" vertical="top" wrapText="1"/>
    </xf>
    <xf numFmtId="0" fontId="19" fillId="7" borderId="0" xfId="0" applyFont="1" applyFill="1" applyAlignment="1">
      <alignment horizontal="center"/>
    </xf>
    <xf numFmtId="0" fontId="20" fillId="7" borderId="0" xfId="0" applyFont="1" applyFill="1" applyAlignment="1">
      <alignment vertical="top" wrapText="1"/>
    </xf>
    <xf numFmtId="164" fontId="17" fillId="7" borderId="0" xfId="0" applyNumberFormat="1" applyFont="1" applyFill="1" applyAlignment="1">
      <alignment horizontal="center" wrapText="1"/>
    </xf>
    <xf numFmtId="0" fontId="4" fillId="7" borderId="0" xfId="0" applyFont="1" applyFill="1" applyAlignment="1">
      <alignment wrapText="1"/>
    </xf>
    <xf numFmtId="0" fontId="1" fillId="7" borderId="0" xfId="0" applyFont="1" applyFill="1" applyAlignment="1">
      <alignment horizontal="center" vertical="top" wrapText="1"/>
    </xf>
    <xf numFmtId="0" fontId="0" fillId="7" borderId="0" xfId="0" applyFill="1" applyAlignment="1">
      <alignment horizontal="center"/>
    </xf>
    <xf numFmtId="0" fontId="0" fillId="7" borderId="0" xfId="0" applyFill="1"/>
    <xf numFmtId="0" fontId="14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0" xfId="0" applyFont="1" applyFill="1"/>
    <xf numFmtId="0" fontId="11" fillId="7" borderId="0" xfId="0" applyFont="1" applyFill="1"/>
    <xf numFmtId="0" fontId="18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" fillId="0" borderId="49" xfId="0" applyFont="1" applyBorder="1" applyAlignment="1">
      <alignment horizontal="center" vertical="top" wrapText="1"/>
    </xf>
    <xf numFmtId="0" fontId="3" fillId="0" borderId="50" xfId="0" applyFont="1" applyBorder="1" applyAlignment="1">
      <alignment horizontal="center" vertical="top" wrapText="1"/>
    </xf>
    <xf numFmtId="0" fontId="3" fillId="0" borderId="51" xfId="0" applyFont="1" applyBorder="1" applyAlignment="1">
      <alignment horizontal="center" vertical="top" wrapText="1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0" fillId="0" borderId="49" xfId="0" applyFont="1" applyBorder="1" applyAlignment="1">
      <alignment horizontal="center" vertical="top" wrapText="1"/>
    </xf>
    <xf numFmtId="0" fontId="10" fillId="8" borderId="5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0" fillId="5" borderId="7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8" borderId="7" xfId="0" applyFont="1" applyFill="1" applyBorder="1" applyAlignment="1">
      <alignment horizontal="center" vertical="top" wrapText="1"/>
    </xf>
    <xf numFmtId="0" fontId="10" fillId="8" borderId="2" xfId="0" applyFont="1" applyFill="1" applyBorder="1" applyAlignment="1">
      <alignment horizontal="center" vertical="top" wrapText="1"/>
    </xf>
    <xf numFmtId="0" fontId="10" fillId="5" borderId="5" xfId="0" applyFont="1" applyFill="1" applyBorder="1" applyAlignment="1">
      <alignment horizontal="center" vertical="top" wrapText="1"/>
    </xf>
    <xf numFmtId="0" fontId="10" fillId="4" borderId="5" xfId="0" applyFont="1" applyFill="1" applyBorder="1" applyAlignment="1">
      <alignment horizontal="center" vertical="top" wrapText="1"/>
    </xf>
    <xf numFmtId="0" fontId="10" fillId="5" borderId="45" xfId="0" applyFont="1" applyFill="1" applyBorder="1" applyAlignment="1">
      <alignment horizontal="center" vertical="top" wrapText="1"/>
    </xf>
    <xf numFmtId="0" fontId="1" fillId="8" borderId="10" xfId="0" applyFont="1" applyFill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6" borderId="32" xfId="0" applyNumberFormat="1" applyFont="1" applyFill="1" applyBorder="1" applyAlignment="1">
      <alignment horizontal="center" vertical="top" wrapText="1"/>
    </xf>
    <xf numFmtId="164" fontId="2" fillId="6" borderId="37" xfId="0" applyNumberFormat="1" applyFont="1" applyFill="1" applyBorder="1" applyAlignment="1">
      <alignment horizontal="center" vertical="top" wrapText="1"/>
    </xf>
    <xf numFmtId="164" fontId="2" fillId="4" borderId="37" xfId="0" applyNumberFormat="1" applyFont="1" applyFill="1" applyBorder="1" applyAlignment="1">
      <alignment horizontal="center" vertical="top" wrapText="1"/>
    </xf>
    <xf numFmtId="164" fontId="2" fillId="0" borderId="39" xfId="0" applyNumberFormat="1" applyFont="1" applyBorder="1" applyAlignment="1">
      <alignment horizontal="center" vertical="top" wrapText="1"/>
    </xf>
    <xf numFmtId="164" fontId="2" fillId="0" borderId="40" xfId="0" applyNumberFormat="1" applyFont="1" applyBorder="1" applyAlignment="1">
      <alignment horizontal="center" vertical="top" wrapText="1"/>
    </xf>
    <xf numFmtId="164" fontId="2" fillId="6" borderId="43" xfId="0" applyNumberFormat="1" applyFont="1" applyFill="1" applyBorder="1" applyAlignment="1">
      <alignment horizontal="center" vertical="top" wrapText="1"/>
    </xf>
    <xf numFmtId="164" fontId="2" fillId="0" borderId="37" xfId="0" applyNumberFormat="1" applyFont="1" applyBorder="1" applyAlignment="1">
      <alignment horizontal="center" vertical="top" wrapText="1"/>
    </xf>
    <xf numFmtId="164" fontId="2" fillId="6" borderId="30" xfId="0" applyNumberFormat="1" applyFont="1" applyFill="1" applyBorder="1" applyAlignment="1">
      <alignment horizontal="center" vertical="top" wrapText="1"/>
    </xf>
    <xf numFmtId="164" fontId="2" fillId="0" borderId="33" xfId="0" applyNumberFormat="1" applyFont="1" applyBorder="1" applyAlignment="1">
      <alignment horizontal="center" vertical="top" wrapText="1"/>
    </xf>
    <xf numFmtId="164" fontId="2" fillId="0" borderId="36" xfId="0" applyNumberFormat="1" applyFont="1" applyBorder="1" applyAlignment="1">
      <alignment horizontal="center" vertical="top" wrapText="1"/>
    </xf>
    <xf numFmtId="164" fontId="5" fillId="6" borderId="33" xfId="0" applyNumberFormat="1" applyFont="1" applyFill="1" applyBorder="1" applyAlignment="1">
      <alignment horizontal="center" vertical="top" wrapText="1"/>
    </xf>
    <xf numFmtId="164" fontId="5" fillId="6" borderId="35" xfId="0" applyNumberFormat="1" applyFont="1" applyFill="1" applyBorder="1" applyAlignment="1">
      <alignment horizontal="center" vertical="top" wrapText="1"/>
    </xf>
    <xf numFmtId="164" fontId="2" fillId="4" borderId="30" xfId="0" applyNumberFormat="1" applyFont="1" applyFill="1" applyBorder="1" applyAlignment="1">
      <alignment horizontal="center" vertical="top" wrapText="1"/>
    </xf>
    <xf numFmtId="164" fontId="2" fillId="4" borderId="42" xfId="0" applyNumberFormat="1" applyFont="1" applyFill="1" applyBorder="1" applyAlignment="1">
      <alignment horizontal="center" vertical="top" wrapText="1"/>
    </xf>
    <xf numFmtId="164" fontId="0" fillId="7" borderId="0" xfId="0" applyNumberFormat="1" applyFill="1"/>
    <xf numFmtId="0" fontId="4" fillId="0" borderId="55" xfId="0" applyFont="1" applyBorder="1" applyAlignment="1">
      <alignment wrapText="1"/>
    </xf>
    <xf numFmtId="0" fontId="4" fillId="0" borderId="57" xfId="0" applyFont="1" applyBorder="1" applyAlignment="1">
      <alignment vertical="top" wrapText="1"/>
    </xf>
    <xf numFmtId="0" fontId="24" fillId="0" borderId="58" xfId="0" applyFont="1" applyBorder="1" applyAlignment="1">
      <alignment vertical="top" wrapText="1"/>
    </xf>
    <xf numFmtId="0" fontId="4" fillId="0" borderId="59" xfId="0" applyFont="1" applyBorder="1" applyAlignment="1">
      <alignment vertical="top" wrapText="1"/>
    </xf>
    <xf numFmtId="0" fontId="0" fillId="7" borderId="0" xfId="0" applyFill="1" applyBorder="1" applyAlignment="1">
      <alignment vertical="top" wrapText="1"/>
    </xf>
    <xf numFmtId="0" fontId="1" fillId="7" borderId="0" xfId="0" applyFont="1" applyFill="1" applyBorder="1" applyAlignment="1">
      <alignment horizontal="center" vertical="top" wrapText="1"/>
    </xf>
    <xf numFmtId="0" fontId="2" fillId="7" borderId="0" xfId="0" applyFont="1" applyFill="1" applyBorder="1" applyAlignment="1">
      <alignment horizontal="center" vertical="top" wrapText="1"/>
    </xf>
    <xf numFmtId="0" fontId="3" fillId="0" borderId="56" xfId="0" applyFont="1" applyBorder="1" applyAlignment="1">
      <alignment horizontal="center" vertical="top" wrapText="1"/>
    </xf>
    <xf numFmtId="0" fontId="3" fillId="0" borderId="60" xfId="0" applyFont="1" applyBorder="1" applyAlignment="1">
      <alignment horizontal="center" vertical="top" wrapText="1"/>
    </xf>
    <xf numFmtId="0" fontId="3" fillId="0" borderId="61" xfId="0" applyFont="1" applyBorder="1" applyAlignment="1">
      <alignment horizontal="center" vertical="top" wrapText="1"/>
    </xf>
    <xf numFmtId="0" fontId="3" fillId="0" borderId="62" xfId="0" applyFont="1" applyBorder="1" applyAlignment="1">
      <alignment horizontal="center" vertical="top" wrapText="1"/>
    </xf>
    <xf numFmtId="0" fontId="3" fillId="0" borderId="63" xfId="0" applyFont="1" applyBorder="1" applyAlignment="1">
      <alignment horizontal="center" vertical="top" wrapText="1"/>
    </xf>
  </cellXfs>
  <cellStyles count="1">
    <cellStyle name="Standard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0000"/>
      <color rgb="FFC6E0B3"/>
      <color rgb="FFD2E0B2"/>
      <color rgb="FFBBD18B"/>
      <color rgb="FFADC773"/>
      <color rgb="FFE3F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94F60-261E-4047-987E-E82513B8378B}" name="Tabelle1" displayName="Tabelle1" ref="A1:C6" totalsRowShown="0">
  <autoFilter ref="A1:C6" xr:uid="{E3194F60-261E-4047-987E-E82513B8378B}"/>
  <tableColumns count="3">
    <tableColumn id="1" xr3:uid="{C3F60418-CAFE-49E1-91DD-57C708FC5738}" name="ABKUERZUNG" dataDxfId="2"/>
    <tableColumn id="2" xr3:uid="{750EE8D3-1ED0-4BF0-96A0-CDED40563945}" name="STUNDEN" dataDxfId="1"/>
    <tableColumn id="3" xr3:uid="{0E6BC229-AEA4-424D-8AA4-C4127BF33559}" name="ZEITEN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B94B-508F-4E91-BF35-154F8BC54BB6}">
  <dimension ref="A1:D6"/>
  <sheetViews>
    <sheetView workbookViewId="0">
      <selection activeCell="C16" sqref="C16"/>
    </sheetView>
  </sheetViews>
  <sheetFormatPr baseColWidth="10" defaultColWidth="8.88671875" defaultRowHeight="14.4" x14ac:dyDescent="0.3"/>
  <cols>
    <col min="1" max="1" width="16" customWidth="1"/>
    <col min="2" max="2" width="11.88671875" bestFit="1" customWidth="1"/>
    <col min="3" max="3" width="70.88671875" customWidth="1"/>
  </cols>
  <sheetData>
    <row r="1" spans="1:4" x14ac:dyDescent="0.3">
      <c r="A1" s="97" t="s">
        <v>0</v>
      </c>
      <c r="B1" s="3" t="s">
        <v>1</v>
      </c>
      <c r="C1" s="98" t="s">
        <v>2</v>
      </c>
      <c r="D1" s="96"/>
    </row>
    <row r="2" spans="1:4" x14ac:dyDescent="0.3">
      <c r="A2" s="3" t="s">
        <v>3</v>
      </c>
      <c r="B2" s="3">
        <v>3.5</v>
      </c>
      <c r="C2" s="99" t="s">
        <v>4</v>
      </c>
    </row>
    <row r="3" spans="1:4" x14ac:dyDescent="0.3">
      <c r="A3" s="3" t="s">
        <v>5</v>
      </c>
      <c r="B3" s="3">
        <v>7.5</v>
      </c>
      <c r="C3" s="99" t="s">
        <v>6</v>
      </c>
    </row>
    <row r="4" spans="1:4" x14ac:dyDescent="0.3">
      <c r="A4" s="3" t="s">
        <v>7</v>
      </c>
      <c r="B4" s="3">
        <v>7</v>
      </c>
      <c r="C4" s="99" t="s">
        <v>8</v>
      </c>
    </row>
    <row r="5" spans="1:4" x14ac:dyDescent="0.3">
      <c r="A5" s="3" t="s">
        <v>9</v>
      </c>
      <c r="B5" s="3">
        <v>10</v>
      </c>
      <c r="C5" s="99" t="s">
        <v>10</v>
      </c>
    </row>
    <row r="6" spans="1:4" x14ac:dyDescent="0.3">
      <c r="A6" s="3" t="s">
        <v>11</v>
      </c>
      <c r="B6" s="3">
        <v>4.5</v>
      </c>
      <c r="C6" s="99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P66"/>
  <sheetViews>
    <sheetView tabSelected="1" topLeftCell="A27" zoomScale="120" zoomScaleNormal="120" workbookViewId="0">
      <selection activeCell="C70" sqref="C70"/>
    </sheetView>
  </sheetViews>
  <sheetFormatPr baseColWidth="10" defaultColWidth="10.88671875" defaultRowHeight="14.4" x14ac:dyDescent="0.3"/>
  <cols>
    <col min="1" max="1" width="9.109375" style="5" customWidth="1"/>
    <col min="2" max="2" width="5.5546875" customWidth="1"/>
    <col min="3" max="3" width="8.109375" customWidth="1"/>
    <col min="4" max="17" width="6.109375" customWidth="1"/>
    <col min="18" max="18" width="6" customWidth="1"/>
    <col min="20" max="20" width="3" customWidth="1"/>
    <col min="21" max="21" width="4" customWidth="1"/>
    <col min="23" max="23" width="18.6640625" customWidth="1"/>
  </cols>
  <sheetData>
    <row r="1" spans="1:296" ht="23.25" customHeight="1" thickBot="1" x14ac:dyDescent="0.35">
      <c r="A1" s="60" t="s">
        <v>31</v>
      </c>
      <c r="B1" s="77" t="s">
        <v>32</v>
      </c>
      <c r="C1" s="133" t="s">
        <v>33</v>
      </c>
      <c r="D1" s="134" t="s">
        <v>13</v>
      </c>
      <c r="E1" s="135" t="s">
        <v>14</v>
      </c>
      <c r="F1" s="135" t="s">
        <v>15</v>
      </c>
      <c r="G1" s="135" t="s">
        <v>16</v>
      </c>
      <c r="H1" s="135" t="s">
        <v>17</v>
      </c>
      <c r="I1" s="135" t="s">
        <v>18</v>
      </c>
      <c r="J1" s="135" t="s">
        <v>19</v>
      </c>
      <c r="K1" s="135" t="s">
        <v>20</v>
      </c>
      <c r="L1" s="135" t="s">
        <v>21</v>
      </c>
      <c r="M1" s="135" t="s">
        <v>22</v>
      </c>
      <c r="N1" s="135" t="s">
        <v>23</v>
      </c>
      <c r="O1" s="135" t="s">
        <v>24</v>
      </c>
      <c r="P1" s="135" t="s">
        <v>25</v>
      </c>
      <c r="Q1" s="135" t="s">
        <v>26</v>
      </c>
      <c r="R1" s="136" t="s">
        <v>27</v>
      </c>
      <c r="S1" s="86"/>
    </row>
    <row r="2" spans="1:296" ht="14.25" customHeight="1" x14ac:dyDescent="0.35">
      <c r="A2" s="125">
        <v>45597</v>
      </c>
      <c r="B2" s="117" t="s">
        <v>7</v>
      </c>
      <c r="C2" s="103">
        <f t="shared" ref="C2:C33" si="0">COUNTIF(D2:R2,"&gt;1")</f>
        <v>1</v>
      </c>
      <c r="D2" s="106"/>
      <c r="E2" s="100"/>
      <c r="F2" s="101">
        <v>7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2"/>
      <c r="S2" s="88"/>
      <c r="T2" s="45"/>
    </row>
    <row r="3" spans="1:296" s="1" customFormat="1" ht="14.25" customHeight="1" x14ac:dyDescent="0.35">
      <c r="A3" s="118"/>
      <c r="B3" s="116" t="s">
        <v>9</v>
      </c>
      <c r="C3" s="104">
        <f t="shared" si="0"/>
        <v>2</v>
      </c>
      <c r="D3" s="107"/>
      <c r="E3" s="12"/>
      <c r="F3" s="17">
        <v>10</v>
      </c>
      <c r="G3" s="17"/>
      <c r="H3" s="17"/>
      <c r="I3" s="17"/>
      <c r="J3" s="17"/>
      <c r="K3" s="17"/>
      <c r="L3" s="17"/>
      <c r="M3" s="17"/>
      <c r="N3" s="6"/>
      <c r="O3" s="6"/>
      <c r="P3" s="6"/>
      <c r="Q3" s="6">
        <v>10</v>
      </c>
      <c r="R3" s="62"/>
      <c r="S3" s="88"/>
      <c r="T3" s="45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</row>
    <row r="4" spans="1:296" ht="14.25" customHeight="1" x14ac:dyDescent="0.3">
      <c r="A4" s="128">
        <f>A2+1</f>
        <v>45598</v>
      </c>
      <c r="B4" s="20" t="s">
        <v>7</v>
      </c>
      <c r="C4" s="104">
        <f t="shared" si="0"/>
        <v>2</v>
      </c>
      <c r="D4" s="108"/>
      <c r="E4" s="13"/>
      <c r="F4" s="9">
        <v>7</v>
      </c>
      <c r="G4" s="9"/>
      <c r="H4" s="9"/>
      <c r="I4" s="9"/>
      <c r="J4" s="9"/>
      <c r="K4" s="9"/>
      <c r="L4" s="9"/>
      <c r="M4" s="9"/>
      <c r="N4" s="9"/>
      <c r="O4" s="9"/>
      <c r="P4" s="9"/>
      <c r="Q4" s="9">
        <v>7</v>
      </c>
      <c r="R4" s="63"/>
      <c r="S4" s="86"/>
      <c r="T4" s="45"/>
    </row>
    <row r="5" spans="1:296" s="2" customFormat="1" ht="14.25" customHeight="1" x14ac:dyDescent="0.3">
      <c r="A5" s="129"/>
      <c r="B5" s="19" t="s">
        <v>9</v>
      </c>
      <c r="C5" s="104">
        <f t="shared" si="0"/>
        <v>3</v>
      </c>
      <c r="D5" s="109"/>
      <c r="E5" s="14">
        <v>10</v>
      </c>
      <c r="F5" s="16">
        <v>10</v>
      </c>
      <c r="G5" s="16"/>
      <c r="H5" s="16"/>
      <c r="I5" s="16"/>
      <c r="J5" s="16"/>
      <c r="K5" s="16"/>
      <c r="L5" s="16"/>
      <c r="M5" s="16"/>
      <c r="N5" s="18"/>
      <c r="O5" s="18"/>
      <c r="P5" s="18"/>
      <c r="Q5" s="18">
        <v>10</v>
      </c>
      <c r="R5" s="64"/>
      <c r="S5" s="86"/>
      <c r="T5" s="4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</row>
    <row r="6" spans="1:296" ht="14.25" customHeight="1" x14ac:dyDescent="0.3">
      <c r="A6" s="128">
        <f>A4+1</f>
        <v>45599</v>
      </c>
      <c r="B6" s="20" t="s">
        <v>7</v>
      </c>
      <c r="C6" s="104">
        <f t="shared" si="0"/>
        <v>1</v>
      </c>
      <c r="D6" s="108">
        <v>7</v>
      </c>
      <c r="E6" s="13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63"/>
      <c r="S6" s="89"/>
      <c r="T6" s="45"/>
    </row>
    <row r="7" spans="1:296" s="1" customFormat="1" ht="14.25" customHeight="1" x14ac:dyDescent="0.3">
      <c r="A7" s="129"/>
      <c r="B7" s="19" t="s">
        <v>5</v>
      </c>
      <c r="C7" s="104">
        <f t="shared" si="0"/>
        <v>4</v>
      </c>
      <c r="D7" s="109">
        <v>7.5</v>
      </c>
      <c r="E7" s="14">
        <v>7.5</v>
      </c>
      <c r="F7" s="18"/>
      <c r="G7" s="18"/>
      <c r="H7" s="18"/>
      <c r="I7" s="18"/>
      <c r="J7" s="18"/>
      <c r="K7" s="18"/>
      <c r="L7" s="16">
        <v>7.5</v>
      </c>
      <c r="M7" s="16"/>
      <c r="N7" s="16"/>
      <c r="O7" s="16"/>
      <c r="P7" s="16"/>
      <c r="Q7" s="16">
        <v>7.5</v>
      </c>
      <c r="R7" s="65"/>
      <c r="S7" s="86"/>
      <c r="T7" s="45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</row>
    <row r="8" spans="1:296" ht="14.25" customHeight="1" x14ac:dyDescent="0.3">
      <c r="A8" s="126">
        <f>A6+1</f>
        <v>45600</v>
      </c>
      <c r="B8" s="20" t="s">
        <v>35</v>
      </c>
      <c r="C8" s="104">
        <f t="shared" si="0"/>
        <v>4</v>
      </c>
      <c r="D8" s="110" t="s">
        <v>34</v>
      </c>
      <c r="E8" s="11">
        <v>3.5</v>
      </c>
      <c r="F8" s="7"/>
      <c r="G8" s="7"/>
      <c r="H8" s="7" t="s">
        <v>34</v>
      </c>
      <c r="I8" s="7">
        <v>3.5</v>
      </c>
      <c r="J8" s="7"/>
      <c r="K8" s="7"/>
      <c r="L8" s="11">
        <v>3.5</v>
      </c>
      <c r="M8" s="7"/>
      <c r="N8" s="7"/>
      <c r="O8" s="7"/>
      <c r="P8" s="7">
        <v>3.5</v>
      </c>
      <c r="Q8" s="7"/>
      <c r="R8" s="61"/>
      <c r="S8" s="86"/>
      <c r="T8" s="45"/>
    </row>
    <row r="9" spans="1:296" s="1" customFormat="1" ht="14.25" customHeight="1" x14ac:dyDescent="0.3">
      <c r="A9" s="127"/>
      <c r="B9" s="19" t="s">
        <v>5</v>
      </c>
      <c r="C9" s="104">
        <f t="shared" si="0"/>
        <v>5</v>
      </c>
      <c r="D9" s="109">
        <v>1</v>
      </c>
      <c r="E9" s="15">
        <v>7.5</v>
      </c>
      <c r="F9" s="18"/>
      <c r="G9" s="18"/>
      <c r="H9" s="16">
        <v>1</v>
      </c>
      <c r="I9" s="18">
        <v>7.5</v>
      </c>
      <c r="J9" s="18"/>
      <c r="K9" s="18">
        <v>7.5</v>
      </c>
      <c r="L9" s="14">
        <v>7.5</v>
      </c>
      <c r="M9" s="16"/>
      <c r="N9" s="6"/>
      <c r="O9" s="6"/>
      <c r="P9" s="6">
        <v>7.5</v>
      </c>
      <c r="Q9" s="6"/>
      <c r="R9" s="62"/>
      <c r="S9" s="86"/>
      <c r="T9" s="45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</row>
    <row r="10" spans="1:296" ht="14.25" customHeight="1" x14ac:dyDescent="0.3">
      <c r="A10" s="124">
        <f>A8+1</f>
        <v>45601</v>
      </c>
      <c r="B10" s="20" t="s">
        <v>35</v>
      </c>
      <c r="C10" s="104">
        <f t="shared" si="0"/>
        <v>3</v>
      </c>
      <c r="D10" s="108" t="s">
        <v>34</v>
      </c>
      <c r="E10" s="13">
        <v>3.5</v>
      </c>
      <c r="F10" s="9"/>
      <c r="G10" s="13"/>
      <c r="H10" s="13" t="s">
        <v>34</v>
      </c>
      <c r="I10" s="9">
        <v>3.5</v>
      </c>
      <c r="J10" s="9"/>
      <c r="K10" s="9">
        <v>3.5</v>
      </c>
      <c r="L10" s="13"/>
      <c r="M10" s="9"/>
      <c r="N10" s="9"/>
      <c r="O10" s="9"/>
      <c r="P10" s="9"/>
      <c r="Q10" s="9"/>
      <c r="R10" s="63"/>
      <c r="S10" s="90"/>
      <c r="T10" s="45"/>
    </row>
    <row r="11" spans="1:296" s="1" customFormat="1" ht="14.25" customHeight="1" x14ac:dyDescent="0.3">
      <c r="A11" s="124"/>
      <c r="B11" s="19" t="s">
        <v>36</v>
      </c>
      <c r="C11" s="104">
        <f t="shared" si="0"/>
        <v>5</v>
      </c>
      <c r="D11" s="109">
        <v>1</v>
      </c>
      <c r="E11" s="15">
        <v>7.5</v>
      </c>
      <c r="F11" s="18"/>
      <c r="G11" s="15"/>
      <c r="H11" s="15">
        <v>1</v>
      </c>
      <c r="I11" s="18">
        <v>7.5</v>
      </c>
      <c r="J11" s="18"/>
      <c r="K11" s="18">
        <v>7.5</v>
      </c>
      <c r="L11" s="14">
        <v>7.5</v>
      </c>
      <c r="M11" s="16"/>
      <c r="N11" s="18">
        <v>7.5</v>
      </c>
      <c r="O11" s="18"/>
      <c r="P11" s="18"/>
      <c r="Q11" s="18"/>
      <c r="R11" s="64"/>
      <c r="S11" s="90"/>
      <c r="T11" s="45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</row>
    <row r="12" spans="1:296" ht="14.25" customHeight="1" x14ac:dyDescent="0.3">
      <c r="A12" s="124">
        <f>A10+1</f>
        <v>45602</v>
      </c>
      <c r="B12" s="21" t="s">
        <v>3</v>
      </c>
      <c r="C12" s="104">
        <f t="shared" si="0"/>
        <v>3</v>
      </c>
      <c r="D12" s="13"/>
      <c r="E12" s="13"/>
      <c r="F12" s="9"/>
      <c r="G12" s="13"/>
      <c r="H12" s="13" t="s">
        <v>34</v>
      </c>
      <c r="I12" s="9">
        <v>3.5</v>
      </c>
      <c r="J12" s="9"/>
      <c r="K12" s="9"/>
      <c r="L12" s="13">
        <v>3.5</v>
      </c>
      <c r="M12" s="9"/>
      <c r="N12" s="9"/>
      <c r="O12" s="9">
        <v>3.5</v>
      </c>
      <c r="P12" s="9"/>
      <c r="Q12" s="9"/>
      <c r="R12" s="63"/>
      <c r="S12" s="86"/>
      <c r="T12" s="45"/>
    </row>
    <row r="13" spans="1:296" s="1" customFormat="1" ht="14.25" customHeight="1" x14ac:dyDescent="0.3">
      <c r="A13" s="124"/>
      <c r="B13" s="19" t="s">
        <v>5</v>
      </c>
      <c r="C13" s="104">
        <f t="shared" si="0"/>
        <v>3</v>
      </c>
      <c r="D13" s="109"/>
      <c r="E13" s="15"/>
      <c r="F13" s="18"/>
      <c r="G13" s="15"/>
      <c r="H13" s="15">
        <v>1</v>
      </c>
      <c r="I13" s="18">
        <v>7.5</v>
      </c>
      <c r="J13" s="18"/>
      <c r="K13" s="18"/>
      <c r="L13" s="14">
        <v>7.5</v>
      </c>
      <c r="M13" s="16"/>
      <c r="N13" s="18"/>
      <c r="O13" s="18">
        <v>7.5</v>
      </c>
      <c r="P13" s="18"/>
      <c r="Q13" s="18"/>
      <c r="R13" s="64"/>
      <c r="S13" s="86"/>
      <c r="T13" s="45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</row>
    <row r="14" spans="1:296" ht="14.25" customHeight="1" x14ac:dyDescent="0.3">
      <c r="A14" s="124">
        <f>A12+1</f>
        <v>45603</v>
      </c>
      <c r="B14" s="20" t="s">
        <v>35</v>
      </c>
      <c r="C14" s="104">
        <f t="shared" si="0"/>
        <v>3</v>
      </c>
      <c r="D14" s="108"/>
      <c r="E14" s="13">
        <v>3.5</v>
      </c>
      <c r="F14" s="9"/>
      <c r="G14" s="13"/>
      <c r="H14" s="13"/>
      <c r="I14" s="9">
        <v>3.5</v>
      </c>
      <c r="J14" s="9"/>
      <c r="K14" s="9"/>
      <c r="L14" s="13"/>
      <c r="M14" s="9"/>
      <c r="N14" s="9"/>
      <c r="O14" s="9">
        <v>3.5</v>
      </c>
      <c r="P14" s="9"/>
      <c r="Q14" s="9"/>
      <c r="R14" s="63"/>
      <c r="S14" s="86"/>
      <c r="T14" s="45"/>
    </row>
    <row r="15" spans="1:296" s="1" customFormat="1" ht="14.25" customHeight="1" x14ac:dyDescent="0.3">
      <c r="A15" s="124"/>
      <c r="B15" s="22" t="s">
        <v>5</v>
      </c>
      <c r="C15" s="104">
        <f t="shared" si="0"/>
        <v>5</v>
      </c>
      <c r="D15" s="111"/>
      <c r="E15" s="15">
        <v>7.5</v>
      </c>
      <c r="F15" s="18"/>
      <c r="G15" s="15"/>
      <c r="H15" s="15"/>
      <c r="I15" s="18">
        <v>7.5</v>
      </c>
      <c r="J15" s="18"/>
      <c r="K15" s="18"/>
      <c r="L15" s="14">
        <v>7.5</v>
      </c>
      <c r="M15" s="16"/>
      <c r="N15" s="16">
        <v>7.5</v>
      </c>
      <c r="O15" s="16">
        <v>7.5</v>
      </c>
      <c r="P15" s="16"/>
      <c r="Q15" s="16"/>
      <c r="R15" s="65"/>
      <c r="S15" s="86"/>
      <c r="T15" s="4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</row>
    <row r="16" spans="1:296" ht="14.25" customHeight="1" x14ac:dyDescent="0.3">
      <c r="A16" s="124">
        <f>A14+1</f>
        <v>45604</v>
      </c>
      <c r="B16" s="20" t="s">
        <v>11</v>
      </c>
      <c r="C16" s="104">
        <f t="shared" si="0"/>
        <v>3</v>
      </c>
      <c r="D16" s="108"/>
      <c r="E16" s="13"/>
      <c r="F16" s="9"/>
      <c r="G16" s="9"/>
      <c r="H16" s="9"/>
      <c r="I16" s="9"/>
      <c r="J16" s="9">
        <v>4.5</v>
      </c>
      <c r="K16" s="9"/>
      <c r="L16" s="9"/>
      <c r="M16" s="9"/>
      <c r="N16" s="7">
        <v>4.5</v>
      </c>
      <c r="O16" s="7">
        <v>4.5</v>
      </c>
      <c r="P16" s="7"/>
      <c r="Q16" s="7"/>
      <c r="R16" s="61"/>
      <c r="S16" s="91"/>
      <c r="T16" s="46"/>
    </row>
    <row r="17" spans="1:302" ht="14.25" customHeight="1" x14ac:dyDescent="0.3">
      <c r="A17" s="124"/>
      <c r="B17" s="22" t="s">
        <v>9</v>
      </c>
      <c r="C17" s="104">
        <f t="shared" si="0"/>
        <v>4</v>
      </c>
      <c r="D17" s="107">
        <v>10</v>
      </c>
      <c r="E17" s="12">
        <v>10</v>
      </c>
      <c r="F17" s="17"/>
      <c r="G17" s="17"/>
      <c r="H17" s="17"/>
      <c r="I17" s="17"/>
      <c r="J17" s="17">
        <v>10</v>
      </c>
      <c r="K17" s="17"/>
      <c r="L17" s="17"/>
      <c r="M17" s="17"/>
      <c r="N17" s="6"/>
      <c r="O17" s="6">
        <v>10</v>
      </c>
      <c r="P17" s="17"/>
      <c r="Q17" s="17"/>
      <c r="R17" s="66"/>
      <c r="S17" s="92"/>
      <c r="T17" s="47"/>
    </row>
    <row r="18" spans="1:302" ht="14.25" customHeight="1" x14ac:dyDescent="0.3">
      <c r="A18" s="119">
        <f>A16+1</f>
        <v>45605</v>
      </c>
      <c r="B18" s="20" t="s">
        <v>7</v>
      </c>
      <c r="C18" s="104">
        <f t="shared" si="0"/>
        <v>1</v>
      </c>
      <c r="D18" s="110">
        <v>7</v>
      </c>
      <c r="E18" s="11"/>
      <c r="F18" s="7"/>
      <c r="G18" s="7"/>
      <c r="H18" s="7"/>
      <c r="I18" s="25"/>
      <c r="J18" s="7"/>
      <c r="K18" s="7"/>
      <c r="L18" s="7"/>
      <c r="M18" s="7"/>
      <c r="N18" s="33"/>
      <c r="O18" s="35"/>
      <c r="P18" s="7"/>
      <c r="Q18" s="7" t="s">
        <v>37</v>
      </c>
      <c r="R18" s="61"/>
      <c r="S18" s="86"/>
      <c r="T18" s="45"/>
    </row>
    <row r="19" spans="1:302" ht="14.25" customHeight="1" x14ac:dyDescent="0.3">
      <c r="A19" s="119"/>
      <c r="B19" s="29" t="s">
        <v>9</v>
      </c>
      <c r="C19" s="104">
        <f t="shared" si="0"/>
        <v>4</v>
      </c>
      <c r="D19" s="112">
        <v>10</v>
      </c>
      <c r="E19" s="30"/>
      <c r="F19" s="31"/>
      <c r="G19" s="31"/>
      <c r="H19" s="31"/>
      <c r="I19" s="31"/>
      <c r="J19" s="31"/>
      <c r="K19" s="31">
        <v>10</v>
      </c>
      <c r="L19" s="31"/>
      <c r="M19" s="31"/>
      <c r="N19" s="32">
        <v>10</v>
      </c>
      <c r="O19" s="36"/>
      <c r="P19" s="31"/>
      <c r="Q19" s="31">
        <v>10</v>
      </c>
      <c r="R19" s="67"/>
      <c r="S19" s="86"/>
      <c r="T19" s="45"/>
    </row>
    <row r="20" spans="1:302" ht="14.25" customHeight="1" x14ac:dyDescent="0.3">
      <c r="A20" s="119">
        <f>A18+1</f>
        <v>45606</v>
      </c>
      <c r="B20" s="20" t="s">
        <v>7</v>
      </c>
      <c r="C20" s="104">
        <f t="shared" si="0"/>
        <v>2</v>
      </c>
      <c r="D20" s="108">
        <v>7</v>
      </c>
      <c r="E20" s="13"/>
      <c r="F20" s="9"/>
      <c r="G20" s="9"/>
      <c r="H20" s="9"/>
      <c r="I20" s="10"/>
      <c r="J20" s="9"/>
      <c r="K20" s="9"/>
      <c r="L20" s="9"/>
      <c r="M20" s="9"/>
      <c r="N20" s="23">
        <v>7</v>
      </c>
      <c r="O20" s="37"/>
      <c r="P20" s="9"/>
      <c r="Q20" s="9"/>
      <c r="R20" s="63"/>
      <c r="S20" s="86"/>
      <c r="T20" s="45"/>
    </row>
    <row r="21" spans="1:302" ht="14.25" customHeight="1" x14ac:dyDescent="0.3">
      <c r="A21" s="119"/>
      <c r="B21" s="22" t="s">
        <v>5</v>
      </c>
      <c r="C21" s="104">
        <f t="shared" si="0"/>
        <v>5</v>
      </c>
      <c r="D21" s="111"/>
      <c r="E21" s="14">
        <v>7.5</v>
      </c>
      <c r="F21" s="16"/>
      <c r="G21" s="16"/>
      <c r="H21" s="16"/>
      <c r="I21" s="16"/>
      <c r="J21" s="16"/>
      <c r="K21" s="16">
        <v>7.5</v>
      </c>
      <c r="L21" s="16">
        <v>7.5</v>
      </c>
      <c r="M21" s="16"/>
      <c r="N21" s="24">
        <v>7.5</v>
      </c>
      <c r="O21" s="38">
        <v>7.5</v>
      </c>
      <c r="P21" s="16"/>
      <c r="Q21" s="16"/>
      <c r="R21" s="65"/>
      <c r="S21" s="86"/>
      <c r="T21" s="45"/>
    </row>
    <row r="22" spans="1:302" ht="14.25" customHeight="1" x14ac:dyDescent="0.3">
      <c r="A22" s="124">
        <f>A20+1</f>
        <v>45607</v>
      </c>
      <c r="B22" s="20" t="s">
        <v>3</v>
      </c>
      <c r="C22" s="104">
        <f t="shared" si="0"/>
        <v>5</v>
      </c>
      <c r="D22" s="108"/>
      <c r="E22" s="13">
        <v>3.5</v>
      </c>
      <c r="F22" s="9"/>
      <c r="G22" s="9"/>
      <c r="H22" s="9"/>
      <c r="I22" s="9">
        <v>3.5</v>
      </c>
      <c r="J22" s="9"/>
      <c r="K22" s="9"/>
      <c r="L22" s="9">
        <v>3.5</v>
      </c>
      <c r="M22" s="9"/>
      <c r="N22" s="23"/>
      <c r="O22" s="37">
        <v>3.5</v>
      </c>
      <c r="P22" s="9">
        <v>3.5</v>
      </c>
      <c r="Q22" s="9"/>
      <c r="R22" s="63"/>
      <c r="S22" s="86"/>
      <c r="T22" s="45"/>
    </row>
    <row r="23" spans="1:302" ht="14.25" customHeight="1" x14ac:dyDescent="0.3">
      <c r="A23" s="124"/>
      <c r="B23" s="22" t="s">
        <v>5</v>
      </c>
      <c r="C23" s="104">
        <f t="shared" si="0"/>
        <v>6</v>
      </c>
      <c r="D23" s="111"/>
      <c r="E23" s="14">
        <v>7.5</v>
      </c>
      <c r="F23" s="16"/>
      <c r="G23" s="16"/>
      <c r="H23" s="16"/>
      <c r="I23" s="16">
        <v>7.5</v>
      </c>
      <c r="J23" s="16"/>
      <c r="K23" s="16">
        <v>7.5</v>
      </c>
      <c r="L23" s="16">
        <v>7.5</v>
      </c>
      <c r="M23" s="16"/>
      <c r="N23" s="24"/>
      <c r="O23" s="38">
        <v>7.5</v>
      </c>
      <c r="P23" s="16">
        <v>7.5</v>
      </c>
      <c r="Q23" s="16"/>
      <c r="R23" s="65"/>
      <c r="S23" s="86"/>
      <c r="T23" s="45"/>
    </row>
    <row r="24" spans="1:302" ht="14.25" customHeight="1" x14ac:dyDescent="0.3">
      <c r="A24" s="124">
        <f>A22+1</f>
        <v>45608</v>
      </c>
      <c r="B24" s="20" t="s">
        <v>3</v>
      </c>
      <c r="C24" s="104">
        <f t="shared" si="0"/>
        <v>3</v>
      </c>
      <c r="D24" s="110"/>
      <c r="E24" s="11">
        <v>3.5</v>
      </c>
      <c r="F24" s="7">
        <v>3.5</v>
      </c>
      <c r="G24" s="7"/>
      <c r="H24" s="7"/>
      <c r="I24" s="7"/>
      <c r="J24" s="7"/>
      <c r="K24" s="7"/>
      <c r="L24" s="7"/>
      <c r="M24" s="7"/>
      <c r="N24" s="33"/>
      <c r="O24" s="39">
        <v>3.5</v>
      </c>
      <c r="P24" s="7"/>
      <c r="Q24" s="7"/>
      <c r="R24" s="61"/>
      <c r="S24" s="86"/>
      <c r="T24" s="45"/>
    </row>
    <row r="25" spans="1:302" ht="14.25" customHeight="1" x14ac:dyDescent="0.3">
      <c r="A25" s="124"/>
      <c r="B25" s="42" t="s">
        <v>5</v>
      </c>
      <c r="C25" s="104">
        <f t="shared" si="0"/>
        <v>4</v>
      </c>
      <c r="D25" s="107"/>
      <c r="E25" s="12">
        <v>7.5</v>
      </c>
      <c r="F25" s="17">
        <v>7.5</v>
      </c>
      <c r="G25" s="17"/>
      <c r="H25" s="17"/>
      <c r="I25" s="17"/>
      <c r="J25" s="17"/>
      <c r="K25" s="17"/>
      <c r="L25" s="17"/>
      <c r="M25" s="17"/>
      <c r="N25" s="34">
        <v>7.5</v>
      </c>
      <c r="O25" s="40">
        <v>7.5</v>
      </c>
      <c r="P25" s="17"/>
      <c r="Q25" s="17"/>
      <c r="R25" s="66"/>
      <c r="S25" s="86"/>
      <c r="T25" s="45"/>
    </row>
    <row r="26" spans="1:302" s="4" customFormat="1" ht="14.25" customHeight="1" thickBot="1" x14ac:dyDescent="0.35">
      <c r="A26" s="124">
        <f>A24+1</f>
        <v>45609</v>
      </c>
      <c r="B26" s="41" t="s">
        <v>3</v>
      </c>
      <c r="C26" s="104">
        <f t="shared" si="0"/>
        <v>4</v>
      </c>
      <c r="D26" s="13"/>
      <c r="E26" s="13">
        <v>3.5</v>
      </c>
      <c r="F26" s="9"/>
      <c r="G26" s="13"/>
      <c r="H26" s="13"/>
      <c r="I26" s="9">
        <v>3.5</v>
      </c>
      <c r="J26" s="9"/>
      <c r="K26" s="9"/>
      <c r="L26" s="13" t="s">
        <v>34</v>
      </c>
      <c r="M26" s="9"/>
      <c r="N26" s="9">
        <v>3.5</v>
      </c>
      <c r="O26" s="9">
        <v>3.5</v>
      </c>
      <c r="P26" s="9"/>
      <c r="Q26" s="9"/>
      <c r="R26" s="63"/>
      <c r="S26" s="93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 s="58"/>
    </row>
    <row r="27" spans="1:302" ht="14.25" customHeight="1" x14ac:dyDescent="0.3">
      <c r="A27" s="124"/>
      <c r="B27" s="19" t="s">
        <v>5</v>
      </c>
      <c r="C27" s="104">
        <f t="shared" si="0"/>
        <v>4</v>
      </c>
      <c r="D27" s="109"/>
      <c r="E27" s="15">
        <v>7.5</v>
      </c>
      <c r="F27" s="18"/>
      <c r="G27" s="15"/>
      <c r="H27" s="15"/>
      <c r="I27" s="18">
        <v>7.5</v>
      </c>
      <c r="J27" s="18"/>
      <c r="K27" s="18"/>
      <c r="L27" s="14">
        <v>1</v>
      </c>
      <c r="M27" s="16"/>
      <c r="N27" s="18">
        <v>7.5</v>
      </c>
      <c r="O27" s="18">
        <v>7.5</v>
      </c>
      <c r="P27" s="18"/>
      <c r="Q27" s="18"/>
      <c r="R27" s="64"/>
      <c r="S27" s="94"/>
    </row>
    <row r="28" spans="1:302" ht="14.25" customHeight="1" x14ac:dyDescent="0.3">
      <c r="A28" s="126">
        <f>A26+1</f>
        <v>45610</v>
      </c>
      <c r="B28" s="20" t="s">
        <v>35</v>
      </c>
      <c r="C28" s="104">
        <f t="shared" si="0"/>
        <v>3</v>
      </c>
      <c r="D28" s="108"/>
      <c r="E28" s="13">
        <v>3.5</v>
      </c>
      <c r="F28" s="9"/>
      <c r="G28" s="13"/>
      <c r="H28" s="13">
        <v>3.5</v>
      </c>
      <c r="I28" s="9"/>
      <c r="J28" s="9"/>
      <c r="K28" s="9"/>
      <c r="L28" s="13" t="s">
        <v>34</v>
      </c>
      <c r="M28" s="9"/>
      <c r="N28" s="9"/>
      <c r="O28" s="9">
        <v>3.5</v>
      </c>
      <c r="P28" s="9"/>
      <c r="Q28" s="9"/>
      <c r="R28" s="63"/>
      <c r="S28" s="87"/>
    </row>
    <row r="29" spans="1:302" ht="14.25" customHeight="1" x14ac:dyDescent="0.3">
      <c r="A29" s="127"/>
      <c r="B29" s="22" t="s">
        <v>5</v>
      </c>
      <c r="C29" s="104">
        <f t="shared" si="0"/>
        <v>3</v>
      </c>
      <c r="D29" s="111"/>
      <c r="E29" s="15">
        <v>7.5</v>
      </c>
      <c r="F29" s="18"/>
      <c r="G29" s="15"/>
      <c r="H29" s="15">
        <v>7.5</v>
      </c>
      <c r="I29" s="18"/>
      <c r="J29" s="18"/>
      <c r="K29" s="18"/>
      <c r="L29" s="14">
        <v>1</v>
      </c>
      <c r="M29" s="16"/>
      <c r="N29" s="16"/>
      <c r="O29" s="16">
        <v>7.5</v>
      </c>
      <c r="P29" s="16"/>
      <c r="Q29" s="16"/>
      <c r="R29" s="65"/>
      <c r="S29" s="87"/>
    </row>
    <row r="30" spans="1:302" ht="14.25" customHeight="1" x14ac:dyDescent="0.3">
      <c r="A30" s="121">
        <f>A28+1</f>
        <v>45611</v>
      </c>
      <c r="B30" s="20" t="s">
        <v>11</v>
      </c>
      <c r="C30" s="104">
        <f t="shared" si="0"/>
        <v>2</v>
      </c>
      <c r="D30" s="108"/>
      <c r="E30" s="13"/>
      <c r="F30" s="9"/>
      <c r="G30" s="9"/>
      <c r="H30" s="9"/>
      <c r="I30" s="9"/>
      <c r="J30" s="9">
        <v>4.5</v>
      </c>
      <c r="K30" s="9"/>
      <c r="L30" s="9" t="s">
        <v>34</v>
      </c>
      <c r="M30" s="9"/>
      <c r="N30" s="7"/>
      <c r="O30" s="7">
        <v>4.5</v>
      </c>
      <c r="P30" s="7"/>
      <c r="Q30" s="7"/>
      <c r="R30" s="61"/>
      <c r="S30" s="87"/>
    </row>
    <row r="31" spans="1:302" ht="14.25" customHeight="1" x14ac:dyDescent="0.3">
      <c r="A31" s="122"/>
      <c r="B31" s="22" t="s">
        <v>9</v>
      </c>
      <c r="C31" s="104">
        <f t="shared" si="0"/>
        <v>1</v>
      </c>
      <c r="D31" s="107"/>
      <c r="E31" s="12"/>
      <c r="F31" s="17"/>
      <c r="G31" s="17"/>
      <c r="H31" s="17"/>
      <c r="I31" s="17"/>
      <c r="J31" s="17"/>
      <c r="K31" s="17"/>
      <c r="L31" s="17">
        <v>1</v>
      </c>
      <c r="M31" s="17"/>
      <c r="N31" s="6"/>
      <c r="O31" s="6">
        <v>10</v>
      </c>
      <c r="P31" s="17"/>
      <c r="Q31" s="17"/>
      <c r="R31" s="66"/>
      <c r="S31" s="87"/>
    </row>
    <row r="32" spans="1:302" ht="14.25" customHeight="1" x14ac:dyDescent="0.3">
      <c r="A32" s="119">
        <f>A30+1</f>
        <v>45612</v>
      </c>
      <c r="B32" s="20" t="s">
        <v>7</v>
      </c>
      <c r="C32" s="104">
        <f t="shared" si="0"/>
        <v>1</v>
      </c>
      <c r="D32" s="110"/>
      <c r="E32" s="11"/>
      <c r="F32" s="7"/>
      <c r="G32" s="7"/>
      <c r="H32" s="7"/>
      <c r="I32" s="7"/>
      <c r="J32" s="7"/>
      <c r="K32" s="7"/>
      <c r="L32" s="7"/>
      <c r="M32" s="7"/>
      <c r="N32" s="7"/>
      <c r="O32" s="7">
        <v>7</v>
      </c>
      <c r="P32" s="7"/>
      <c r="Q32" s="7"/>
      <c r="R32" s="61"/>
      <c r="S32" s="87"/>
    </row>
    <row r="33" spans="1:20" ht="14.25" customHeight="1" x14ac:dyDescent="0.3">
      <c r="A33" s="119"/>
      <c r="B33" s="19" t="s">
        <v>9</v>
      </c>
      <c r="C33" s="104">
        <f t="shared" si="0"/>
        <v>2</v>
      </c>
      <c r="D33" s="113"/>
      <c r="E33" s="12"/>
      <c r="F33" s="6">
        <v>10</v>
      </c>
      <c r="G33" s="6"/>
      <c r="H33" s="6"/>
      <c r="I33" s="6"/>
      <c r="J33" s="6"/>
      <c r="K33" s="6"/>
      <c r="L33" s="6"/>
      <c r="M33" s="6"/>
      <c r="N33" s="17"/>
      <c r="O33" s="6">
        <v>10</v>
      </c>
      <c r="P33" s="6"/>
      <c r="Q33" s="6"/>
      <c r="R33" s="62"/>
      <c r="S33" s="87"/>
    </row>
    <row r="34" spans="1:20" ht="14.25" customHeight="1" x14ac:dyDescent="0.3">
      <c r="A34" s="119">
        <f>A32+1</f>
        <v>45613</v>
      </c>
      <c r="B34" s="20" t="s">
        <v>7</v>
      </c>
      <c r="C34" s="104">
        <f>COUNTIF(D34:R34,"&gt;1")</f>
        <v>2</v>
      </c>
      <c r="D34" s="110"/>
      <c r="E34" s="11"/>
      <c r="F34" s="7">
        <v>7</v>
      </c>
      <c r="G34" s="7"/>
      <c r="H34" s="7"/>
      <c r="I34" s="7"/>
      <c r="J34" s="7"/>
      <c r="K34" s="7"/>
      <c r="L34" s="7"/>
      <c r="M34" s="7"/>
      <c r="N34" s="7"/>
      <c r="O34" s="7">
        <v>7</v>
      </c>
      <c r="P34" s="7"/>
      <c r="Q34" s="7"/>
      <c r="R34" s="61"/>
      <c r="S34" s="87"/>
    </row>
    <row r="35" spans="1:20" ht="14.25" customHeight="1" x14ac:dyDescent="0.3">
      <c r="A35" s="119"/>
      <c r="B35" s="19" t="s">
        <v>5</v>
      </c>
      <c r="C35" s="104">
        <f>COUNTIF(D35:R35,"&gt;1")</f>
        <v>1</v>
      </c>
      <c r="D35" s="113"/>
      <c r="E35" s="12"/>
      <c r="F35" s="6"/>
      <c r="G35" s="6"/>
      <c r="H35" s="6"/>
      <c r="I35" s="6"/>
      <c r="J35" s="6"/>
      <c r="K35" s="6"/>
      <c r="L35" s="6"/>
      <c r="M35" s="6"/>
      <c r="N35" s="17"/>
      <c r="O35" s="17">
        <v>7.5</v>
      </c>
      <c r="P35" s="17"/>
      <c r="Q35" s="17"/>
      <c r="R35" s="66"/>
      <c r="S35" s="87"/>
    </row>
    <row r="36" spans="1:20" ht="14.25" customHeight="1" x14ac:dyDescent="0.3">
      <c r="A36" s="121">
        <f>A34+1</f>
        <v>45614</v>
      </c>
      <c r="B36" s="20" t="s">
        <v>3</v>
      </c>
      <c r="C36" s="104">
        <f>COUNTIF(D36:R36,"&gt;1")</f>
        <v>3</v>
      </c>
      <c r="D36" s="108"/>
      <c r="E36" s="13"/>
      <c r="F36" s="9"/>
      <c r="G36" s="9"/>
      <c r="H36" s="9">
        <v>3.5</v>
      </c>
      <c r="I36" s="9"/>
      <c r="J36" s="9" t="s">
        <v>34</v>
      </c>
      <c r="K36" s="9"/>
      <c r="L36" s="9"/>
      <c r="M36" s="9"/>
      <c r="N36" s="7"/>
      <c r="O36" s="7">
        <v>3.5</v>
      </c>
      <c r="P36" s="7">
        <v>3.5</v>
      </c>
      <c r="Q36" s="7"/>
      <c r="R36" s="61"/>
      <c r="S36" s="95"/>
      <c r="T36" s="8"/>
    </row>
    <row r="37" spans="1:20" ht="14.25" customHeight="1" x14ac:dyDescent="0.3">
      <c r="A37" s="122"/>
      <c r="B37" s="22" t="s">
        <v>5</v>
      </c>
      <c r="C37" s="104">
        <f>COUNTIF(D37:R37,"&gt;1")</f>
        <v>4</v>
      </c>
      <c r="D37" s="107"/>
      <c r="E37" s="12"/>
      <c r="F37" s="17"/>
      <c r="G37" s="17"/>
      <c r="H37" s="17">
        <v>7.5</v>
      </c>
      <c r="I37" s="17"/>
      <c r="J37" s="17">
        <v>1</v>
      </c>
      <c r="K37" s="17">
        <v>7.5</v>
      </c>
      <c r="L37" s="17"/>
      <c r="M37" s="17"/>
      <c r="N37" s="6"/>
      <c r="O37" s="6">
        <v>7.5</v>
      </c>
      <c r="P37" s="17">
        <v>7.5</v>
      </c>
      <c r="Q37" s="17"/>
      <c r="R37" s="66"/>
      <c r="S37" s="87"/>
      <c r="T37" s="8"/>
    </row>
    <row r="38" spans="1:20" ht="15" customHeight="1" x14ac:dyDescent="0.3">
      <c r="A38" s="120">
        <f>A36+1</f>
        <v>45615</v>
      </c>
      <c r="B38" s="20" t="s">
        <v>3</v>
      </c>
      <c r="C38" s="104">
        <f>COUNTIF(D38:R38,"&gt;1")</f>
        <v>3</v>
      </c>
      <c r="D38" s="110"/>
      <c r="E38" s="11"/>
      <c r="F38" s="7">
        <v>3.5</v>
      </c>
      <c r="G38" s="7"/>
      <c r="H38" s="7">
        <v>3.5</v>
      </c>
      <c r="I38" s="7"/>
      <c r="J38" s="7" t="s">
        <v>34</v>
      </c>
      <c r="K38" s="7"/>
      <c r="L38" s="7"/>
      <c r="M38" s="7"/>
      <c r="N38" s="7"/>
      <c r="O38" s="7">
        <v>3.5</v>
      </c>
      <c r="P38" s="7"/>
      <c r="Q38" s="7"/>
      <c r="R38" s="61"/>
      <c r="S38" s="87"/>
      <c r="T38" s="8"/>
    </row>
    <row r="39" spans="1:20" ht="14.25" customHeight="1" x14ac:dyDescent="0.3">
      <c r="A39" s="120"/>
      <c r="B39" s="19" t="s">
        <v>5</v>
      </c>
      <c r="C39" s="104">
        <f>COUNTIF(D39:R39,"&gt;1")</f>
        <v>5</v>
      </c>
      <c r="D39" s="113"/>
      <c r="E39" s="12"/>
      <c r="F39" s="6">
        <v>7.5</v>
      </c>
      <c r="G39" s="6"/>
      <c r="H39" s="6">
        <v>7.5</v>
      </c>
      <c r="I39" s="6"/>
      <c r="J39" s="6">
        <v>1</v>
      </c>
      <c r="K39" s="6"/>
      <c r="L39" s="6">
        <v>7.5</v>
      </c>
      <c r="M39" s="6"/>
      <c r="N39" s="17">
        <v>7.5</v>
      </c>
      <c r="O39" s="6">
        <v>7.5</v>
      </c>
      <c r="P39" s="6"/>
      <c r="Q39" s="6"/>
      <c r="R39" s="62"/>
      <c r="S39" s="87"/>
      <c r="T39" s="8"/>
    </row>
    <row r="40" spans="1:20" x14ac:dyDescent="0.3">
      <c r="A40" s="120">
        <f>A38+1</f>
        <v>45616</v>
      </c>
      <c r="B40" s="20" t="s">
        <v>3</v>
      </c>
      <c r="C40" s="104">
        <f>COUNTIF(D40:R40,"&gt;1")</f>
        <v>2</v>
      </c>
      <c r="D40" s="110"/>
      <c r="E40" s="11"/>
      <c r="F40" s="7"/>
      <c r="G40" s="7"/>
      <c r="H40" s="7"/>
      <c r="I40" s="7"/>
      <c r="J40" s="7" t="s">
        <v>34</v>
      </c>
      <c r="K40" s="7"/>
      <c r="L40" s="7">
        <v>3.5</v>
      </c>
      <c r="M40" s="7"/>
      <c r="N40" s="7"/>
      <c r="O40" s="7">
        <v>3.5</v>
      </c>
      <c r="P40" s="7"/>
      <c r="Q40" s="7"/>
      <c r="R40" s="61"/>
      <c r="S40" s="87"/>
      <c r="T40" s="8"/>
    </row>
    <row r="41" spans="1:20" x14ac:dyDescent="0.3">
      <c r="A41" s="120"/>
      <c r="B41" s="19" t="s">
        <v>5</v>
      </c>
      <c r="C41" s="104">
        <f>COUNTIF(D41:R41,"&gt;1")</f>
        <v>2</v>
      </c>
      <c r="D41" s="113"/>
      <c r="E41" s="12"/>
      <c r="F41" s="6"/>
      <c r="G41" s="6"/>
      <c r="H41" s="6"/>
      <c r="I41" s="6"/>
      <c r="J41" s="6">
        <v>1</v>
      </c>
      <c r="K41" s="6"/>
      <c r="L41" s="6">
        <v>7.5</v>
      </c>
      <c r="M41" s="6"/>
      <c r="N41" s="17"/>
      <c r="O41" s="17">
        <v>7.5</v>
      </c>
      <c r="P41" s="17"/>
      <c r="Q41" s="17"/>
      <c r="R41" s="68"/>
      <c r="S41" s="87"/>
      <c r="T41" s="8"/>
    </row>
    <row r="42" spans="1:20" x14ac:dyDescent="0.3">
      <c r="A42" s="120">
        <f>A40+1</f>
        <v>45617</v>
      </c>
      <c r="B42" s="20" t="s">
        <v>3</v>
      </c>
      <c r="C42" s="104">
        <f>COUNTIF(D42:R42,"&gt;1")</f>
        <v>2</v>
      </c>
      <c r="D42" s="110"/>
      <c r="E42" s="11"/>
      <c r="F42" s="7"/>
      <c r="G42" s="7"/>
      <c r="H42" s="7"/>
      <c r="I42" s="7"/>
      <c r="J42" s="7" t="s">
        <v>34</v>
      </c>
      <c r="K42" s="7"/>
      <c r="L42" s="7"/>
      <c r="M42" s="7"/>
      <c r="N42" s="7"/>
      <c r="O42" s="7"/>
      <c r="P42" s="7">
        <v>3.5</v>
      </c>
      <c r="Q42" s="7">
        <v>3.5</v>
      </c>
      <c r="R42" s="61"/>
      <c r="S42" s="87"/>
      <c r="T42" s="28"/>
    </row>
    <row r="43" spans="1:20" x14ac:dyDescent="0.3">
      <c r="A43" s="120"/>
      <c r="B43" s="19" t="s">
        <v>5</v>
      </c>
      <c r="C43" s="104">
        <f>COUNTIF(D43:R43,"&gt;1")</f>
        <v>4</v>
      </c>
      <c r="D43" s="113"/>
      <c r="E43" s="12"/>
      <c r="F43" s="6"/>
      <c r="G43" s="6"/>
      <c r="H43" s="6"/>
      <c r="I43" s="6"/>
      <c r="J43" s="6">
        <v>1</v>
      </c>
      <c r="K43" s="6"/>
      <c r="L43" s="6">
        <v>7.5</v>
      </c>
      <c r="M43" s="6"/>
      <c r="N43" s="17">
        <v>7.5</v>
      </c>
      <c r="O43" s="17"/>
      <c r="P43" s="17">
        <v>7.5</v>
      </c>
      <c r="Q43" s="17">
        <v>7.5</v>
      </c>
      <c r="R43" s="68"/>
      <c r="S43" s="87"/>
      <c r="T43" s="28"/>
    </row>
    <row r="44" spans="1:20" x14ac:dyDescent="0.3">
      <c r="A44" s="130">
        <f>A42+1</f>
        <v>45618</v>
      </c>
      <c r="B44" s="20" t="s">
        <v>11</v>
      </c>
      <c r="C44" s="104">
        <f>COUNTIF(D44:R44,"&gt;1")</f>
        <v>3</v>
      </c>
      <c r="D44" s="110"/>
      <c r="E44" s="11" t="s">
        <v>38</v>
      </c>
      <c r="F44" s="7"/>
      <c r="G44" s="7"/>
      <c r="H44" s="7">
        <v>4.5</v>
      </c>
      <c r="I44" s="7"/>
      <c r="J44" s="7" t="s">
        <v>34</v>
      </c>
      <c r="K44" s="7">
        <v>4.5</v>
      </c>
      <c r="L44" s="7"/>
      <c r="M44" s="7"/>
      <c r="N44" s="7">
        <v>4.5</v>
      </c>
      <c r="O44" s="7"/>
      <c r="P44" s="7"/>
      <c r="Q44" s="7"/>
      <c r="R44" s="61"/>
      <c r="S44" s="87"/>
    </row>
    <row r="45" spans="1:20" x14ac:dyDescent="0.3">
      <c r="A45" s="131"/>
      <c r="B45" s="19" t="s">
        <v>9</v>
      </c>
      <c r="C45" s="104">
        <f>COUNTIF(D45:R45,"&gt;1")</f>
        <v>3</v>
      </c>
      <c r="D45" s="113"/>
      <c r="E45" s="12" t="s">
        <v>39</v>
      </c>
      <c r="F45" s="6"/>
      <c r="G45" s="6"/>
      <c r="H45" s="6">
        <v>10</v>
      </c>
      <c r="I45" s="6">
        <v>10</v>
      </c>
      <c r="J45" s="6"/>
      <c r="K45" s="6">
        <v>10</v>
      </c>
      <c r="L45" s="6"/>
      <c r="M45" s="6"/>
      <c r="N45" s="17"/>
      <c r="O45" s="17"/>
      <c r="P45" s="17"/>
      <c r="Q45" s="17"/>
      <c r="R45" s="68"/>
      <c r="S45" s="87"/>
    </row>
    <row r="46" spans="1:20" x14ac:dyDescent="0.3">
      <c r="A46" s="119">
        <f>A44+1</f>
        <v>45619</v>
      </c>
      <c r="B46" s="20" t="s">
        <v>7</v>
      </c>
      <c r="C46" s="104">
        <f>COUNTIF(D46:R46,"&gt;1")</f>
        <v>2</v>
      </c>
      <c r="D46" s="110"/>
      <c r="E46" s="11" t="s">
        <v>39</v>
      </c>
      <c r="F46" s="7">
        <v>7</v>
      </c>
      <c r="G46" s="7"/>
      <c r="H46" s="7">
        <v>7</v>
      </c>
      <c r="I46" s="7"/>
      <c r="J46" s="7"/>
      <c r="K46" s="7"/>
      <c r="L46" s="7"/>
      <c r="M46" s="7"/>
      <c r="N46" s="7"/>
      <c r="O46" s="7" t="s">
        <v>38</v>
      </c>
      <c r="P46" s="7"/>
      <c r="Q46" s="7"/>
      <c r="R46" s="61"/>
      <c r="S46" s="87"/>
    </row>
    <row r="47" spans="1:20" x14ac:dyDescent="0.3">
      <c r="A47" s="119"/>
      <c r="B47" s="19" t="s">
        <v>9</v>
      </c>
      <c r="C47" s="104">
        <f>COUNTIF(D47:R47,"&gt;1")</f>
        <v>4</v>
      </c>
      <c r="D47" s="113"/>
      <c r="E47" s="12" t="s">
        <v>38</v>
      </c>
      <c r="F47" s="6">
        <v>10</v>
      </c>
      <c r="G47" s="6"/>
      <c r="H47" s="6">
        <v>10</v>
      </c>
      <c r="I47" s="6"/>
      <c r="J47" s="6">
        <v>10</v>
      </c>
      <c r="K47" s="6"/>
      <c r="L47" s="6"/>
      <c r="M47" s="6"/>
      <c r="N47" s="17">
        <v>10</v>
      </c>
      <c r="O47" s="17" t="s">
        <v>38</v>
      </c>
      <c r="P47" s="17"/>
      <c r="Q47" s="17"/>
      <c r="R47" s="68"/>
      <c r="S47" s="87"/>
    </row>
    <row r="48" spans="1:20" x14ac:dyDescent="0.3">
      <c r="A48" s="118">
        <f>A46+1</f>
        <v>45620</v>
      </c>
      <c r="B48" s="20" t="s">
        <v>7</v>
      </c>
      <c r="C48" s="104">
        <f>COUNTIF(D48:R48,"&gt;1")</f>
        <v>2</v>
      </c>
      <c r="D48" s="110"/>
      <c r="E48" s="11" t="s">
        <v>38</v>
      </c>
      <c r="F48" s="7"/>
      <c r="G48" s="7"/>
      <c r="H48" s="7">
        <v>7</v>
      </c>
      <c r="I48" s="7"/>
      <c r="J48" s="7"/>
      <c r="K48" s="7"/>
      <c r="L48" s="7"/>
      <c r="M48" s="7"/>
      <c r="N48" s="7">
        <v>7</v>
      </c>
      <c r="O48" s="7" t="s">
        <v>38</v>
      </c>
      <c r="P48" s="7"/>
      <c r="Q48" s="7"/>
      <c r="R48" s="61"/>
      <c r="S48" s="87"/>
    </row>
    <row r="49" spans="1:19" x14ac:dyDescent="0.3">
      <c r="A49" s="119"/>
      <c r="B49" s="19" t="s">
        <v>5</v>
      </c>
      <c r="C49" s="104">
        <f>COUNTIF(D49:R49,"&gt;1")</f>
        <v>4</v>
      </c>
      <c r="D49" s="113"/>
      <c r="E49" s="12" t="s">
        <v>38</v>
      </c>
      <c r="F49" s="6"/>
      <c r="G49" s="6"/>
      <c r="H49" s="6">
        <v>7.5</v>
      </c>
      <c r="I49" s="6"/>
      <c r="J49" s="6">
        <v>7.5</v>
      </c>
      <c r="K49" s="6">
        <v>7.5</v>
      </c>
      <c r="L49" s="6"/>
      <c r="M49" s="6"/>
      <c r="N49" s="17">
        <v>7.5</v>
      </c>
      <c r="O49" s="17" t="s">
        <v>38</v>
      </c>
      <c r="P49" s="17"/>
      <c r="Q49" s="17"/>
      <c r="R49" s="68"/>
      <c r="S49" s="87"/>
    </row>
    <row r="50" spans="1:19" x14ac:dyDescent="0.3">
      <c r="A50" s="121">
        <f>A48+1</f>
        <v>45621</v>
      </c>
      <c r="B50" s="20" t="s">
        <v>3</v>
      </c>
      <c r="C50" s="104">
        <f>COUNTIF(D50:R50,"&gt;1")</f>
        <v>4</v>
      </c>
      <c r="D50" s="108"/>
      <c r="E50" s="13" t="s">
        <v>38</v>
      </c>
      <c r="F50" s="9"/>
      <c r="G50" s="9"/>
      <c r="H50" s="9">
        <v>3.5</v>
      </c>
      <c r="I50" s="9"/>
      <c r="J50" s="9">
        <v>3.5</v>
      </c>
      <c r="K50" s="9"/>
      <c r="L50" s="9">
        <v>3.5</v>
      </c>
      <c r="M50" s="9"/>
      <c r="N50" s="7"/>
      <c r="O50" s="7" t="s">
        <v>38</v>
      </c>
      <c r="P50" s="7">
        <v>3.5</v>
      </c>
      <c r="Q50" s="7"/>
      <c r="R50" s="61"/>
      <c r="S50" s="87"/>
    </row>
    <row r="51" spans="1:19" x14ac:dyDescent="0.3">
      <c r="A51" s="122"/>
      <c r="B51" s="22" t="s">
        <v>5</v>
      </c>
      <c r="C51" s="104">
        <f>COUNTIF(D51:R51,"&gt;1")</f>
        <v>4</v>
      </c>
      <c r="D51" s="107"/>
      <c r="E51" s="12" t="s">
        <v>38</v>
      </c>
      <c r="F51" s="17"/>
      <c r="G51" s="17"/>
      <c r="H51" s="17">
        <v>7.5</v>
      </c>
      <c r="I51" s="17"/>
      <c r="J51" s="17"/>
      <c r="K51" s="17">
        <v>7.5</v>
      </c>
      <c r="L51" s="17">
        <v>7.5</v>
      </c>
      <c r="M51" s="17"/>
      <c r="N51" s="6"/>
      <c r="O51" s="6" t="s">
        <v>38</v>
      </c>
      <c r="P51" s="17">
        <v>7.5</v>
      </c>
      <c r="Q51" s="17"/>
      <c r="R51" s="66"/>
      <c r="S51" s="87"/>
    </row>
    <row r="52" spans="1:19" x14ac:dyDescent="0.3">
      <c r="A52" s="120">
        <f>A50+1</f>
        <v>45622</v>
      </c>
      <c r="B52" s="20" t="s">
        <v>3</v>
      </c>
      <c r="C52" s="104">
        <f>COUNTIF(D52:R52,"&gt;1")</f>
        <v>2</v>
      </c>
      <c r="D52" s="110"/>
      <c r="E52" s="11" t="s">
        <v>38</v>
      </c>
      <c r="F52" s="7"/>
      <c r="G52" s="7"/>
      <c r="H52" s="7"/>
      <c r="I52" s="7"/>
      <c r="J52" s="7"/>
      <c r="K52" s="7">
        <v>3.5</v>
      </c>
      <c r="L52" s="7"/>
      <c r="M52" s="7"/>
      <c r="N52" s="7"/>
      <c r="O52" s="7"/>
      <c r="P52" s="7"/>
      <c r="Q52" s="7">
        <v>3.5</v>
      </c>
      <c r="R52" s="61"/>
      <c r="S52" s="87"/>
    </row>
    <row r="53" spans="1:19" ht="15" customHeight="1" x14ac:dyDescent="0.3">
      <c r="A53" s="120"/>
      <c r="B53" s="19" t="s">
        <v>5</v>
      </c>
      <c r="C53" s="104">
        <f>COUNTIF(D53:R53,"&gt;1")</f>
        <v>3</v>
      </c>
      <c r="D53" s="113"/>
      <c r="E53" s="12" t="s">
        <v>39</v>
      </c>
      <c r="F53" s="6"/>
      <c r="G53" s="6"/>
      <c r="H53" s="6"/>
      <c r="I53" s="6"/>
      <c r="J53" s="6"/>
      <c r="K53" s="6">
        <v>7.5</v>
      </c>
      <c r="L53" s="6"/>
      <c r="M53" s="6"/>
      <c r="N53" s="17">
        <v>7.5</v>
      </c>
      <c r="O53" s="6"/>
      <c r="P53" s="6"/>
      <c r="Q53" s="6">
        <v>7.5</v>
      </c>
      <c r="R53" s="62"/>
      <c r="S53" s="87"/>
    </row>
    <row r="54" spans="1:19" ht="15" customHeight="1" x14ac:dyDescent="0.3">
      <c r="A54" s="120">
        <f>A52+1</f>
        <v>45623</v>
      </c>
      <c r="B54" s="20" t="s">
        <v>3</v>
      </c>
      <c r="C54" s="104">
        <f>COUNTIF(D54:R54,"&gt;1")</f>
        <v>2</v>
      </c>
      <c r="D54" s="110"/>
      <c r="E54" s="11" t="s">
        <v>38</v>
      </c>
      <c r="F54" s="7"/>
      <c r="G54" s="7"/>
      <c r="H54" s="7"/>
      <c r="I54" s="7"/>
      <c r="J54" s="7"/>
      <c r="K54" s="7"/>
      <c r="L54" s="7"/>
      <c r="M54" s="7"/>
      <c r="N54" s="7"/>
      <c r="O54" s="7">
        <v>3.5</v>
      </c>
      <c r="P54" s="7"/>
      <c r="Q54" s="7">
        <v>3.5</v>
      </c>
      <c r="R54" s="61"/>
      <c r="S54" s="87"/>
    </row>
    <row r="55" spans="1:19" ht="15" customHeight="1" x14ac:dyDescent="0.3">
      <c r="A55" s="120"/>
      <c r="B55" s="19" t="s">
        <v>5</v>
      </c>
      <c r="C55" s="104">
        <f>COUNTIF(D55:R55,"&gt;1")</f>
        <v>2</v>
      </c>
      <c r="D55" s="113"/>
      <c r="E55" s="12" t="s">
        <v>39</v>
      </c>
      <c r="F55" s="6"/>
      <c r="G55" s="6"/>
      <c r="H55" s="6"/>
      <c r="I55" s="6"/>
      <c r="J55" s="6"/>
      <c r="K55" s="6"/>
      <c r="L55" s="6"/>
      <c r="M55" s="6"/>
      <c r="N55" s="17"/>
      <c r="O55" s="17">
        <v>7.5</v>
      </c>
      <c r="P55" s="17"/>
      <c r="Q55" s="17">
        <v>7.5</v>
      </c>
      <c r="R55" s="68"/>
      <c r="S55" s="87"/>
    </row>
    <row r="56" spans="1:19" ht="15" customHeight="1" x14ac:dyDescent="0.3">
      <c r="A56" s="69">
        <f>A54+1</f>
        <v>45624</v>
      </c>
      <c r="B56" s="43" t="s">
        <v>3</v>
      </c>
      <c r="C56" s="104">
        <f>COUNTIF(D56:R56,"&gt;1")</f>
        <v>2</v>
      </c>
      <c r="D56" s="114"/>
      <c r="E56" s="44" t="s">
        <v>39</v>
      </c>
      <c r="F56" s="25"/>
      <c r="G56" s="25"/>
      <c r="H56" s="25"/>
      <c r="I56" s="25"/>
      <c r="J56" s="25"/>
      <c r="K56" s="25"/>
      <c r="L56" s="25"/>
      <c r="M56" s="25"/>
      <c r="N56" s="25"/>
      <c r="O56" s="25">
        <v>3.5</v>
      </c>
      <c r="P56" s="25"/>
      <c r="Q56" s="25">
        <v>3.5</v>
      </c>
      <c r="R56" s="70"/>
      <c r="S56" s="87"/>
    </row>
    <row r="57" spans="1:19" ht="15" customHeight="1" x14ac:dyDescent="0.3">
      <c r="A57" s="71"/>
      <c r="B57" s="19" t="s">
        <v>5</v>
      </c>
      <c r="C57" s="104">
        <f>COUNTIF(D57:R57,"&gt;1")</f>
        <v>3</v>
      </c>
      <c r="D57" s="113"/>
      <c r="E57" s="12" t="s">
        <v>39</v>
      </c>
      <c r="F57" s="6"/>
      <c r="G57" s="6"/>
      <c r="H57" s="6"/>
      <c r="I57" s="6"/>
      <c r="J57" s="6"/>
      <c r="K57" s="6"/>
      <c r="L57" s="6"/>
      <c r="M57" s="6"/>
      <c r="N57" s="17"/>
      <c r="O57" s="17">
        <v>7.5</v>
      </c>
      <c r="P57" s="17">
        <v>7.5</v>
      </c>
      <c r="Q57" s="17">
        <v>7.5</v>
      </c>
      <c r="R57" s="66"/>
      <c r="S57" s="87"/>
    </row>
    <row r="58" spans="1:19" ht="15" customHeight="1" x14ac:dyDescent="0.3">
      <c r="A58" s="69">
        <f>A56+1</f>
        <v>45625</v>
      </c>
      <c r="B58" s="43" t="s">
        <v>11</v>
      </c>
      <c r="C58" s="104">
        <f>COUNTIF(D58:R58,"&gt;1")</f>
        <v>2</v>
      </c>
      <c r="D58" s="114"/>
      <c r="E58" s="44" t="s">
        <v>39</v>
      </c>
      <c r="F58" s="25"/>
      <c r="G58" s="25"/>
      <c r="H58" s="25"/>
      <c r="I58" s="25"/>
      <c r="J58" s="25">
        <v>4.5</v>
      </c>
      <c r="K58" s="25"/>
      <c r="L58" s="25"/>
      <c r="M58" s="25"/>
      <c r="N58" s="25"/>
      <c r="O58" s="25" t="s">
        <v>38</v>
      </c>
      <c r="P58" s="25">
        <v>4.5</v>
      </c>
      <c r="Q58" s="25"/>
      <c r="R58" s="70"/>
      <c r="S58" s="87"/>
    </row>
    <row r="59" spans="1:19" ht="15" customHeight="1" x14ac:dyDescent="0.3">
      <c r="A59" s="71"/>
      <c r="B59" s="19" t="s">
        <v>9</v>
      </c>
      <c r="C59" s="104">
        <f>COUNTIF(D59:R59,"&gt;1")</f>
        <v>1</v>
      </c>
      <c r="D59" s="113"/>
      <c r="E59" s="12" t="s">
        <v>38</v>
      </c>
      <c r="F59" s="6"/>
      <c r="G59" s="6"/>
      <c r="H59" s="6"/>
      <c r="I59" s="6"/>
      <c r="J59" s="6"/>
      <c r="K59" s="6"/>
      <c r="L59" s="6"/>
      <c r="M59" s="6"/>
      <c r="N59" s="17"/>
      <c r="O59" s="17" t="s">
        <v>38</v>
      </c>
      <c r="P59" s="17">
        <v>10</v>
      </c>
      <c r="Q59" s="17"/>
      <c r="R59" s="66"/>
      <c r="S59" s="87"/>
    </row>
    <row r="60" spans="1:19" ht="15" customHeight="1" x14ac:dyDescent="0.3">
      <c r="A60" s="119">
        <f>A58+1</f>
        <v>45626</v>
      </c>
      <c r="B60" s="20" t="s">
        <v>7</v>
      </c>
      <c r="C60" s="104">
        <f>COUNTIF(D60:R60,"&gt;1")</f>
        <v>2</v>
      </c>
      <c r="D60" s="110"/>
      <c r="E60" s="11" t="s">
        <v>38</v>
      </c>
      <c r="F60" s="7">
        <v>7</v>
      </c>
      <c r="G60" s="7"/>
      <c r="H60" s="7"/>
      <c r="I60" s="7"/>
      <c r="J60" s="7"/>
      <c r="K60" s="7"/>
      <c r="L60" s="7"/>
      <c r="M60" s="7"/>
      <c r="N60" s="7"/>
      <c r="O60" s="7" t="s">
        <v>38</v>
      </c>
      <c r="P60" s="7">
        <v>7</v>
      </c>
      <c r="Q60" s="7"/>
      <c r="R60" s="61"/>
      <c r="S60" s="87"/>
    </row>
    <row r="61" spans="1:19" ht="15" thickBot="1" x14ac:dyDescent="0.35">
      <c r="A61" s="123"/>
      <c r="B61" s="72" t="s">
        <v>9</v>
      </c>
      <c r="C61" s="105">
        <f>COUNTIF(D61:R61,"&gt;1")</f>
        <v>2</v>
      </c>
      <c r="D61" s="115"/>
      <c r="E61" s="73" t="s">
        <v>38</v>
      </c>
      <c r="F61" s="74">
        <v>10</v>
      </c>
      <c r="G61" s="74"/>
      <c r="H61" s="74"/>
      <c r="I61" s="74"/>
      <c r="J61" s="74"/>
      <c r="K61" s="74"/>
      <c r="L61" s="74"/>
      <c r="M61" s="74"/>
      <c r="N61" s="75"/>
      <c r="O61" s="75" t="s">
        <v>38</v>
      </c>
      <c r="P61" s="75">
        <v>10</v>
      </c>
      <c r="Q61" s="75"/>
      <c r="R61" s="76"/>
      <c r="S61" s="87"/>
    </row>
    <row r="62" spans="1:19" ht="15" thickBot="1" x14ac:dyDescent="0.35">
      <c r="A62" s="132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</row>
    <row r="63" spans="1:19" x14ac:dyDescent="0.3">
      <c r="A63" s="79"/>
      <c r="B63" s="80"/>
      <c r="C63" s="48" t="s">
        <v>28</v>
      </c>
      <c r="D63" s="49">
        <v>10</v>
      </c>
      <c r="E63" s="49">
        <v>30</v>
      </c>
      <c r="F63" s="49"/>
      <c r="G63" s="49"/>
      <c r="H63" s="49">
        <v>15</v>
      </c>
      <c r="I63" s="49">
        <v>20</v>
      </c>
      <c r="J63" s="49">
        <v>10</v>
      </c>
      <c r="K63" s="49">
        <v>30</v>
      </c>
      <c r="L63" s="49">
        <v>30</v>
      </c>
      <c r="M63" s="49"/>
      <c r="N63" s="49">
        <v>15</v>
      </c>
      <c r="O63" s="49">
        <v>35</v>
      </c>
      <c r="P63" s="49">
        <v>25</v>
      </c>
      <c r="Q63" s="50">
        <v>25</v>
      </c>
      <c r="R63" s="51"/>
      <c r="S63" s="86"/>
    </row>
    <row r="64" spans="1:19" ht="15" thickBot="1" x14ac:dyDescent="0.35">
      <c r="A64" s="79"/>
      <c r="B64" s="81"/>
      <c r="C64" s="52" t="s">
        <v>29</v>
      </c>
      <c r="D64" s="56">
        <v>17</v>
      </c>
      <c r="E64" s="26">
        <v>40</v>
      </c>
      <c r="F64" s="26">
        <v>30</v>
      </c>
      <c r="G64" s="56"/>
      <c r="H64" s="26">
        <v>25</v>
      </c>
      <c r="I64" s="27">
        <v>40</v>
      </c>
      <c r="J64" s="26">
        <v>20</v>
      </c>
      <c r="K64" s="26">
        <v>35</v>
      </c>
      <c r="L64" s="26">
        <v>45</v>
      </c>
      <c r="M64" s="26"/>
      <c r="N64" s="26">
        <v>30</v>
      </c>
      <c r="O64" s="26">
        <v>55</v>
      </c>
      <c r="P64" s="26">
        <v>40</v>
      </c>
      <c r="Q64" s="26">
        <v>35</v>
      </c>
      <c r="R64" s="53"/>
      <c r="S64" s="86"/>
    </row>
    <row r="65" spans="1:19" ht="15" thickBot="1" x14ac:dyDescent="0.35">
      <c r="A65" s="79"/>
      <c r="B65" s="82"/>
      <c r="C65" s="59" t="s">
        <v>30</v>
      </c>
      <c r="D65" s="57">
        <f>SUM(D2:D61)</f>
        <v>50.5</v>
      </c>
      <c r="E65" s="55">
        <f>SUM(E2:E61)</f>
        <v>112</v>
      </c>
      <c r="F65" s="54">
        <f>SUM(F2:F61)</f>
        <v>107</v>
      </c>
      <c r="G65" s="140">
        <f>SUM(G2:G61)</f>
        <v>0</v>
      </c>
      <c r="H65" s="141">
        <f>SUM(H2:H61)</f>
        <v>93</v>
      </c>
      <c r="I65" s="141">
        <f>SUM(I2:I61)</f>
        <v>76</v>
      </c>
      <c r="J65" s="141">
        <f>SUM(J2:J61)</f>
        <v>48.5</v>
      </c>
      <c r="K65" s="141">
        <f>SUM(K2:K61)</f>
        <v>91.5</v>
      </c>
      <c r="L65" s="141">
        <f>SUM(L2:L61)</f>
        <v>103</v>
      </c>
      <c r="M65" s="141">
        <f>SUM(M2:M61)</f>
        <v>0</v>
      </c>
      <c r="N65" s="142">
        <f>SUM(N2:N61)</f>
        <v>114</v>
      </c>
      <c r="O65" s="143">
        <f>SUM(O2:O61)</f>
        <v>189</v>
      </c>
      <c r="P65" s="143">
        <f>SUM(P2:P61)</f>
        <v>94</v>
      </c>
      <c r="Q65" s="143">
        <f>SUM(Q2:Q61)</f>
        <v>88.5</v>
      </c>
      <c r="R65" s="144">
        <f>SUM(R2:R61)</f>
        <v>0</v>
      </c>
      <c r="S65" s="86"/>
    </row>
    <row r="66" spans="1:19" x14ac:dyDescent="0.3">
      <c r="A66" s="83"/>
      <c r="B66" s="78"/>
      <c r="C66" s="84"/>
      <c r="D66" s="84"/>
      <c r="E66" s="85"/>
      <c r="F66" s="137"/>
      <c r="G66" s="137"/>
      <c r="H66" s="137"/>
      <c r="I66" s="137"/>
      <c r="J66" s="137"/>
      <c r="K66" s="137"/>
      <c r="L66" s="137"/>
      <c r="M66" s="137"/>
      <c r="N66" s="138"/>
      <c r="O66" s="138"/>
      <c r="P66" s="138"/>
      <c r="Q66" s="138"/>
      <c r="R66" s="139"/>
      <c r="S66" s="86"/>
    </row>
  </sheetData>
  <mergeCells count="28">
    <mergeCell ref="A34:A35"/>
    <mergeCell ref="A18:A19"/>
    <mergeCell ref="A20:A21"/>
    <mergeCell ref="A22:A23"/>
    <mergeCell ref="A36:A37"/>
    <mergeCell ref="A26:A27"/>
    <mergeCell ref="A28:A29"/>
    <mergeCell ref="A60:A61"/>
    <mergeCell ref="A10:A11"/>
    <mergeCell ref="A12:A13"/>
    <mergeCell ref="A16:A17"/>
    <mergeCell ref="A2:A3"/>
    <mergeCell ref="A14:A15"/>
    <mergeCell ref="A8:A9"/>
    <mergeCell ref="A24:A25"/>
    <mergeCell ref="A30:A31"/>
    <mergeCell ref="A32:A33"/>
    <mergeCell ref="A46:A47"/>
    <mergeCell ref="A4:A5"/>
    <mergeCell ref="A6:A7"/>
    <mergeCell ref="A40:A41"/>
    <mergeCell ref="A42:A43"/>
    <mergeCell ref="A44:A45"/>
    <mergeCell ref="A48:A49"/>
    <mergeCell ref="A38:A39"/>
    <mergeCell ref="A52:A53"/>
    <mergeCell ref="A54:A55"/>
    <mergeCell ref="A50:A51"/>
  </mergeCells>
  <conditionalFormatting sqref="C2:C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InputMessage="1" showErrorMessage="1" sqref="Y18" xr:uid="{3D067F5A-C1B0-47E2-9708-DE19C73BC1E4}">
      <formula1>""</formula1>
    </dataValidation>
    <dataValidation type="whole" operator="greaterThan" allowBlank="1" showInputMessage="1" showErrorMessage="1" sqref="D63:R64" xr:uid="{569F6F03-640E-43C6-AC2D-F6D731A3819E}">
      <formula1>0</formula1>
    </dataValidation>
  </dataValidations>
  <pageMargins left="0.7" right="0.7" top="0.78740157499999996" bottom="0.78740157499999996" header="0.3" footer="0.3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093BE6-B5F1-4BD8-BF17-6040816B3FE3}">
          <x14:formula1>
            <xm:f>Dienste!$A$2:$A$6</xm:f>
          </x14:formula1>
          <xm:sqref>B2:B61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Dienste</vt:lpstr>
      <vt:lpstr>Assistenten</vt:lpstr>
      <vt:lpstr>Assistenten!Druckbereich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Milan Schmidle</cp:lastModifiedBy>
  <cp:revision/>
  <dcterms:created xsi:type="dcterms:W3CDTF">2021-05-01T07:58:25Z</dcterms:created>
  <dcterms:modified xsi:type="dcterms:W3CDTF">2026-01-12T10:02:38Z</dcterms:modified>
  <cp:category/>
  <cp:contentStatus/>
</cp:coreProperties>
</file>