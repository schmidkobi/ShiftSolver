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n\code\ShiftSolver\"/>
    </mc:Choice>
  </mc:AlternateContent>
  <xr:revisionPtr revIDLastSave="0" documentId="13_ncr:1_{F9D92A3D-8F5F-4B5A-88C1-EEE1EC5B3ECF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ettings" sheetId="5" r:id="rId1"/>
    <sheet name="Employees" sheetId="4" r:id="rId2"/>
  </sheets>
  <definedNames>
    <definedName name="_xlnm.Print_Area" localSheetId="1">Employees!$A$1:$G$69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58" i="4" s="1"/>
  <c r="A60" i="4" s="1"/>
  <c r="A62" i="4" s="1"/>
  <c r="K67" i="4"/>
  <c r="E67" i="4"/>
  <c r="F67" i="4"/>
  <c r="G67" i="4"/>
  <c r="H67" i="4"/>
  <c r="I67" i="4"/>
  <c r="J67" i="4"/>
  <c r="L67" i="4"/>
  <c r="M67" i="4"/>
  <c r="N67" i="4"/>
  <c r="D67" i="4"/>
  <c r="C2" i="4"/>
</calcChain>
</file>

<file path=xl/sharedStrings.xml><?xml version="1.0" encoding="utf-8"?>
<sst xmlns="http://schemas.openxmlformats.org/spreadsheetml/2006/main" count="129" uniqueCount="55">
  <si>
    <t>KT</t>
  </si>
  <si>
    <t>KN</t>
  </si>
  <si>
    <t>LT</t>
  </si>
  <si>
    <t>LN</t>
  </si>
  <si>
    <t>MT</t>
  </si>
  <si>
    <t>minimal</t>
  </si>
  <si>
    <t>maximal</t>
  </si>
  <si>
    <t>Labels</t>
  </si>
  <si>
    <t>Shift Settings</t>
  </si>
  <si>
    <t>hours</t>
  </si>
  <si>
    <t>type</t>
  </si>
  <si>
    <t>header</t>
  </si>
  <si>
    <t>Assistenten Einstellungen</t>
  </si>
  <si>
    <t>employeeSettings</t>
  </si>
  <si>
    <t>minHours</t>
  </si>
  <si>
    <t>maxHours</t>
  </si>
  <si>
    <t>Unwanted Shift Patterns</t>
  </si>
  <si>
    <t>Constraint Weights</t>
  </si>
  <si>
    <t>hard</t>
  </si>
  <si>
    <t>soft</t>
  </si>
  <si>
    <t>Unassigned Employee</t>
  </si>
  <si>
    <t>Too much or less working hours</t>
  </si>
  <si>
    <t>Employee Not Available</t>
  </si>
  <si>
    <t>Too many consecutive shifts</t>
  </si>
  <si>
    <t>Unwanted shift pattern</t>
  </si>
  <si>
    <t>Solver Configuration</t>
  </si>
  <si>
    <t>TerminationSpentLimit</t>
  </si>
  <si>
    <t>Special Unwanted Shift Patterns</t>
  </si>
  <si>
    <t>Special unwanted pattern</t>
  </si>
  <si>
    <t>specialUnwantedPattern</t>
  </si>
  <si>
    <t>start</t>
  </si>
  <si>
    <t>end</t>
  </si>
  <si>
    <t>doubleWeekendShifts</t>
  </si>
  <si>
    <t>Double weekend shifts</t>
  </si>
  <si>
    <t>Fair weekend distribution</t>
  </si>
  <si>
    <t>BestScoreLimit</t>
  </si>
  <si>
    <t>0hard/0soft</t>
  </si>
  <si>
    <t>Day</t>
  </si>
  <si>
    <t>Type</t>
  </si>
  <si>
    <t>Available</t>
  </si>
  <si>
    <t>Employee Settings</t>
  </si>
  <si>
    <t>Avoid Double Weekend Shifts</t>
  </si>
  <si>
    <t>Avoid Single KT</t>
  </si>
  <si>
    <t>Anne</t>
  </si>
  <si>
    <t>Berd</t>
  </si>
  <si>
    <t>Charly</t>
  </si>
  <si>
    <t>Dennis</t>
  </si>
  <si>
    <t>Emilia</t>
  </si>
  <si>
    <t>Gwen</t>
  </si>
  <si>
    <t>Heinz</t>
  </si>
  <si>
    <t>Ines</t>
  </si>
  <si>
    <t>Jacob</t>
  </si>
  <si>
    <t>Karl</t>
  </si>
  <si>
    <t>Lennard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</si>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</sst>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dd/\ d/\ mmm"/>
    <numFmt numFmtId="165" formatCode="h:mm;@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A"/>
        <bgColor indexed="64"/>
      </patternFill>
    </fill>
    <fill>
      <patternFill patternType="solid">
        <fgColor rgb="FFE2F1D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0" applyNumberFormat="1"/>
    <xf numFmtId="0" fontId="0" fillId="0" borderId="6" xfId="0" applyBorder="1"/>
    <xf numFmtId="164" fontId="4" fillId="0" borderId="7" xfId="0" applyNumberFormat="1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0" fillId="6" borderId="0" xfId="0" applyFill="1"/>
    <xf numFmtId="0" fontId="11" fillId="0" borderId="0" xfId="0" applyFont="1" applyAlignment="1">
      <alignment horizontal="center"/>
    </xf>
    <xf numFmtId="0" fontId="0" fillId="0" borderId="10" xfId="0" applyBorder="1"/>
    <xf numFmtId="164" fontId="0" fillId="6" borderId="0" xfId="0" applyNumberFormat="1" applyFill="1"/>
    <xf numFmtId="0" fontId="4" fillId="0" borderId="11" xfId="0" applyFont="1" applyBorder="1" applyAlignment="1">
      <alignment wrapText="1"/>
    </xf>
    <xf numFmtId="164" fontId="9" fillId="9" borderId="0" xfId="0" applyNumberFormat="1" applyFont="1" applyFill="1" applyAlignment="1">
      <alignment horizontal="center" wrapText="1"/>
    </xf>
    <xf numFmtId="0" fontId="9" fillId="9" borderId="0" xfId="0" applyFont="1" applyFill="1" applyAlignment="1">
      <alignment wrapText="1"/>
    </xf>
    <xf numFmtId="164" fontId="4" fillId="0" borderId="8" xfId="0" applyNumberFormat="1" applyFont="1" applyBorder="1" applyAlignment="1">
      <alignment vertical="top" wrapText="1"/>
    </xf>
    <xf numFmtId="0" fontId="4" fillId="9" borderId="13" xfId="0" applyFont="1" applyFill="1" applyBorder="1" applyAlignment="1">
      <alignment horizontal="center" vertical="top" wrapText="1"/>
    </xf>
    <xf numFmtId="164" fontId="7" fillId="0" borderId="14" xfId="0" applyNumberFormat="1" applyFont="1" applyBorder="1" applyAlignment="1">
      <alignment horizontal="center" vertical="top" wrapText="1"/>
    </xf>
    <xf numFmtId="164" fontId="7" fillId="0" borderId="15" xfId="0" applyNumberFormat="1" applyFont="1" applyBorder="1" applyAlignment="1">
      <alignment horizontal="center"/>
    </xf>
    <xf numFmtId="0" fontId="7" fillId="9" borderId="16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7" xfId="0" applyFont="1" applyBorder="1" applyAlignment="1">
      <alignment horizontal="center" vertical="top" wrapText="1"/>
    </xf>
    <xf numFmtId="164" fontId="0" fillId="6" borderId="19" xfId="0" applyNumberFormat="1" applyFill="1" applyBorder="1"/>
    <xf numFmtId="0" fontId="0" fillId="6" borderId="19" xfId="0" applyFill="1" applyBorder="1"/>
    <xf numFmtId="0" fontId="10" fillId="0" borderId="0" xfId="0" applyFont="1"/>
    <xf numFmtId="0" fontId="0" fillId="10" borderId="0" xfId="0" applyFill="1"/>
    <xf numFmtId="0" fontId="1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9" borderId="2" xfId="0" applyFont="1" applyFill="1" applyBorder="1" applyAlignment="1">
      <alignment horizontal="center" vertical="top" wrapText="1"/>
    </xf>
    <xf numFmtId="0" fontId="6" fillId="8" borderId="23" xfId="0" applyFont="1" applyFill="1" applyBorder="1" applyAlignment="1">
      <alignment horizontal="center" vertical="top" wrapText="1"/>
    </xf>
    <xf numFmtId="0" fontId="5" fillId="8" borderId="22" xfId="0" applyFont="1" applyFill="1" applyBorder="1" applyAlignment="1">
      <alignment horizontal="center"/>
    </xf>
    <xf numFmtId="164" fontId="2" fillId="9" borderId="4" xfId="0" applyNumberFormat="1" applyFont="1" applyFill="1" applyBorder="1" applyAlignment="1">
      <alignment horizontal="center" vertical="top" wrapText="1"/>
    </xf>
    <xf numFmtId="0" fontId="1" fillId="9" borderId="5" xfId="0" applyFont="1" applyFill="1" applyBorder="1" applyAlignment="1">
      <alignment vertical="top" wrapText="1"/>
    </xf>
    <xf numFmtId="0" fontId="3" fillId="9" borderId="3" xfId="0" applyFont="1" applyFill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164" fontId="2" fillId="9" borderId="20" xfId="0" applyNumberFormat="1" applyFont="1" applyFill="1" applyBorder="1" applyAlignment="1">
      <alignment horizontal="center" vertical="top" wrapText="1"/>
    </xf>
    <xf numFmtId="164" fontId="2" fillId="9" borderId="24" xfId="0" applyNumberFormat="1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7" borderId="25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164" fontId="2" fillId="5" borderId="4" xfId="0" applyNumberFormat="1" applyFont="1" applyFill="1" applyBorder="1" applyAlignment="1">
      <alignment horizontal="center" vertical="top" wrapText="1"/>
    </xf>
    <xf numFmtId="164" fontId="2" fillId="5" borderId="20" xfId="0" applyNumberFormat="1" applyFont="1" applyFill="1" applyBorder="1" applyAlignment="1">
      <alignment horizontal="center" vertical="top" wrapText="1"/>
    </xf>
    <xf numFmtId="0" fontId="5" fillId="8" borderId="27" xfId="0" applyFont="1" applyFill="1" applyBorder="1" applyAlignment="1">
      <alignment horizontal="center" vertical="top" wrapText="1"/>
    </xf>
    <xf numFmtId="0" fontId="5" fillId="8" borderId="28" xfId="0" applyFont="1" applyFill="1" applyBorder="1" applyAlignment="1">
      <alignment horizontal="center" vertical="top" wrapText="1"/>
    </xf>
    <xf numFmtId="0" fontId="5" fillId="8" borderId="29" xfId="0" applyFont="1" applyFill="1" applyBorder="1" applyAlignment="1">
      <alignment horizontal="center"/>
    </xf>
    <xf numFmtId="0" fontId="13" fillId="6" borderId="0" xfId="0" applyFont="1" applyFill="1"/>
    <xf numFmtId="0" fontId="13" fillId="0" borderId="0" xfId="0" applyFont="1"/>
    <xf numFmtId="0" fontId="3" fillId="7" borderId="30" xfId="0" applyFont="1" applyFill="1" applyBorder="1" applyAlignment="1">
      <alignment horizontal="center" vertical="top" wrapText="1"/>
    </xf>
    <xf numFmtId="164" fontId="8" fillId="0" borderId="31" xfId="0" applyNumberFormat="1" applyFont="1" applyBorder="1" applyAlignment="1">
      <alignment horizontal="center" vertical="top" wrapText="1"/>
    </xf>
    <xf numFmtId="0" fontId="8" fillId="4" borderId="31" xfId="0" applyFont="1" applyFill="1" applyBorder="1" applyAlignment="1">
      <alignment horizontal="center" vertical="top" wrapText="1"/>
    </xf>
    <xf numFmtId="0" fontId="8" fillId="9" borderId="31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16" fillId="0" borderId="0" xfId="0" applyFont="1"/>
    <xf numFmtId="0" fontId="16" fillId="10" borderId="0" xfId="0" applyFont="1" applyFill="1"/>
    <xf numFmtId="0" fontId="0" fillId="11" borderId="0" xfId="0" applyFill="1"/>
    <xf numFmtId="0" fontId="10" fillId="11" borderId="0" xfId="0" applyFont="1" applyFill="1"/>
    <xf numFmtId="0" fontId="10" fillId="11" borderId="0" xfId="0" applyFont="1" applyFill="1" applyAlignment="1">
      <alignment horizontal="left"/>
    </xf>
    <xf numFmtId="0" fontId="17" fillId="11" borderId="0" xfId="0" applyFont="1" applyFill="1" applyAlignment="1">
      <alignment horizontal="left"/>
    </xf>
    <xf numFmtId="0" fontId="18" fillId="11" borderId="0" xfId="0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20" fontId="18" fillId="0" borderId="0" xfId="0" applyNumberFormat="1" applyFont="1" applyAlignment="1">
      <alignment horizontal="center"/>
    </xf>
    <xf numFmtId="164" fontId="2" fillId="9" borderId="5" xfId="0" applyNumberFormat="1" applyFont="1" applyFill="1" applyBorder="1" applyAlignment="1">
      <alignment horizontal="center" vertical="top" wrapText="1"/>
    </xf>
    <xf numFmtId="164" fontId="2" fillId="5" borderId="5" xfId="0" applyNumberFormat="1" applyFont="1" applyFill="1" applyBorder="1" applyAlignment="1">
      <alignment horizontal="center" vertical="top" wrapText="1"/>
    </xf>
    <xf numFmtId="164" fontId="5" fillId="9" borderId="0" xfId="0" applyNumberFormat="1" applyFont="1" applyFill="1" applyAlignment="1">
      <alignment horizontal="left" vertical="top" wrapText="1"/>
    </xf>
    <xf numFmtId="164" fontId="5" fillId="9" borderId="12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6E0B3"/>
      <color rgb="FFFF0000"/>
      <color rgb="FFD2E0B2"/>
      <color rgb="FFBBD18B"/>
      <color rgb="FFADC773"/>
      <color rgb="FFE3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4F60-261E-4047-987E-E82513B8378B}" name="Tabelle1" displayName="Tabelle1" ref="A2:D8" totalsRowShown="0">
  <autoFilter ref="A2:D8" xr:uid="{E3194F60-261E-4047-987E-E82513B8378B}"/>
  <tableColumns count="4">
    <tableColumn id="1" xr3:uid="{C3F60418-CAFE-49E1-91DD-57C708FC5738}" name="type" dataDxfId="3"/>
    <tableColumn id="2" xr3:uid="{750EE8D3-1ED0-4BF0-96A0-CDED40563945}" name="hours" dataDxfId="2"/>
    <tableColumn id="3" xr3:uid="{0E6BC229-AEA4-424D-8AA4-C4127BF33559}" name="start" dataDxfId="1"/>
    <tableColumn id="4" xr3:uid="{CDFD8C9A-7407-4715-9CC7-3894FD7F98ED}" name="end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94B-508F-4E91-BF35-154F8BC54BB6}">
  <dimension ref="A1:E31"/>
  <sheetViews>
    <sheetView topLeftCell="A8" workbookViewId="0">
      <selection activeCell="B31" sqref="B31"/>
    </sheetView>
  </sheetViews>
  <sheetFormatPr baseColWidth="10" defaultColWidth="8.88671875" defaultRowHeight="14.4" x14ac:dyDescent="0.3"/>
  <cols>
    <col min="1" max="1" width="28" customWidth="1"/>
    <col min="2" max="2" width="23.44140625" customWidth="1"/>
    <col min="3" max="3" width="37.77734375" customWidth="1"/>
    <col min="4" max="4" width="18" customWidth="1"/>
    <col min="9" max="9" width="41.21875" customWidth="1"/>
  </cols>
  <sheetData>
    <row r="1" spans="1:5" x14ac:dyDescent="0.3">
      <c r="A1" s="63" t="s">
        <v>8</v>
      </c>
      <c r="B1" s="62"/>
      <c r="C1" s="62"/>
      <c r="D1" s="62"/>
      <c r="E1" s="62"/>
    </row>
    <row r="2" spans="1:5" x14ac:dyDescent="0.3">
      <c r="A2" s="26" t="s">
        <v>10</v>
      </c>
      <c r="B2" s="3" t="s">
        <v>9</v>
      </c>
      <c r="C2" s="10" t="s">
        <v>30</v>
      </c>
      <c r="D2" s="10" t="s">
        <v>31</v>
      </c>
      <c r="E2" s="24"/>
    </row>
    <row r="3" spans="1:5" x14ac:dyDescent="0.3">
      <c r="A3" s="3" t="s">
        <v>0</v>
      </c>
      <c r="B3" s="3">
        <v>3.5</v>
      </c>
      <c r="C3" s="67">
        <v>0.6875</v>
      </c>
      <c r="D3" s="69">
        <v>0.83333333333333337</v>
      </c>
    </row>
    <row r="4" spans="1:5" x14ac:dyDescent="0.3">
      <c r="A4" s="3" t="s">
        <v>1</v>
      </c>
      <c r="B4" s="3">
        <v>7.5</v>
      </c>
      <c r="C4" s="67">
        <v>0.83333333333333337</v>
      </c>
      <c r="D4" s="69">
        <v>0.34375</v>
      </c>
    </row>
    <row r="5" spans="1:5" x14ac:dyDescent="0.3">
      <c r="A5" s="3" t="s">
        <v>2</v>
      </c>
      <c r="B5" s="3">
        <v>7</v>
      </c>
      <c r="C5" s="67">
        <v>0.54166666666666663</v>
      </c>
      <c r="D5" s="69">
        <v>0.83333333333333337</v>
      </c>
    </row>
    <row r="6" spans="1:5" x14ac:dyDescent="0.3">
      <c r="A6" s="3" t="s">
        <v>3</v>
      </c>
      <c r="B6" s="3">
        <v>10</v>
      </c>
      <c r="C6" s="68">
        <v>0.83333333333333337</v>
      </c>
      <c r="D6" s="69">
        <v>0.54166666666666663</v>
      </c>
    </row>
    <row r="7" spans="1:5" x14ac:dyDescent="0.3">
      <c r="A7" s="3" t="s">
        <v>4</v>
      </c>
      <c r="B7" s="3">
        <v>4.5</v>
      </c>
      <c r="C7" s="68">
        <v>0.64583333333333337</v>
      </c>
      <c r="D7" s="69">
        <v>0.83333333333333337</v>
      </c>
    </row>
    <row r="8" spans="1:5" x14ac:dyDescent="0.3">
      <c r="A8" s="64" t="s">
        <v>16</v>
      </c>
      <c r="B8" s="64"/>
      <c r="C8" s="65"/>
      <c r="D8" s="66"/>
      <c r="E8" s="63"/>
    </row>
    <row r="9" spans="1:5" x14ac:dyDescent="0.3">
      <c r="A9" s="3" t="s">
        <v>1</v>
      </c>
      <c r="B9" s="3" t="s">
        <v>0</v>
      </c>
      <c r="C9" s="3"/>
      <c r="D9" s="3"/>
    </row>
    <row r="10" spans="1:5" x14ac:dyDescent="0.3">
      <c r="A10" s="3" t="s">
        <v>1</v>
      </c>
      <c r="B10" s="3" t="s">
        <v>4</v>
      </c>
      <c r="C10" s="3"/>
      <c r="D10" s="3"/>
    </row>
    <row r="11" spans="1:5" x14ac:dyDescent="0.3">
      <c r="A11" s="63" t="s">
        <v>27</v>
      </c>
      <c r="B11" s="63"/>
      <c r="C11" s="63"/>
      <c r="D11" s="63"/>
      <c r="E11" s="62"/>
    </row>
    <row r="12" spans="1:5" x14ac:dyDescent="0.3">
      <c r="A12" s="3" t="s">
        <v>0</v>
      </c>
      <c r="B12" s="54"/>
      <c r="C12" s="54"/>
    </row>
    <row r="13" spans="1:5" x14ac:dyDescent="0.3">
      <c r="A13" s="63" t="s">
        <v>25</v>
      </c>
      <c r="B13" s="63"/>
      <c r="C13" s="63"/>
      <c r="D13" s="63"/>
      <c r="E13" s="62"/>
    </row>
    <row r="14" spans="1:5" x14ac:dyDescent="0.3">
      <c r="A14" s="61" t="s">
        <v>26</v>
      </c>
      <c r="B14" s="60">
        <v>60</v>
      </c>
      <c r="C14" s="54"/>
    </row>
    <row r="15" spans="1:5" x14ac:dyDescent="0.3">
      <c r="A15" s="61" t="s">
        <v>35</v>
      </c>
      <c r="B15" s="60" t="s">
        <v>36</v>
      </c>
      <c r="C15" s="54"/>
    </row>
    <row r="16" spans="1:5" x14ac:dyDescent="0.3">
      <c r="A16" s="63" t="s">
        <v>17</v>
      </c>
      <c r="B16" s="63" t="s">
        <v>18</v>
      </c>
      <c r="C16" s="63" t="s">
        <v>19</v>
      </c>
      <c r="D16" s="63"/>
      <c r="E16" s="62"/>
    </row>
    <row r="17" spans="1:5" x14ac:dyDescent="0.3">
      <c r="A17" s="61" t="s">
        <v>20</v>
      </c>
      <c r="B17" s="60">
        <v>20</v>
      </c>
      <c r="C17" s="60"/>
    </row>
    <row r="18" spans="1:5" x14ac:dyDescent="0.3">
      <c r="A18" s="61" t="s">
        <v>21</v>
      </c>
      <c r="B18" s="60">
        <v>1</v>
      </c>
      <c r="C18" s="60"/>
    </row>
    <row r="19" spans="1:5" x14ac:dyDescent="0.3">
      <c r="A19" s="61" t="s">
        <v>22</v>
      </c>
      <c r="B19" s="60">
        <v>10</v>
      </c>
      <c r="C19" s="60"/>
    </row>
    <row r="20" spans="1:5" x14ac:dyDescent="0.3">
      <c r="A20" s="61" t="s">
        <v>23</v>
      </c>
      <c r="B20" s="60"/>
      <c r="C20" s="60">
        <v>2</v>
      </c>
    </row>
    <row r="21" spans="1:5" x14ac:dyDescent="0.3">
      <c r="A21" s="61" t="s">
        <v>24</v>
      </c>
      <c r="B21" s="60"/>
      <c r="C21" s="60">
        <v>1</v>
      </c>
    </row>
    <row r="22" spans="1:5" x14ac:dyDescent="0.3">
      <c r="A22" s="61" t="s">
        <v>33</v>
      </c>
      <c r="B22" s="60"/>
      <c r="C22" s="60">
        <v>1</v>
      </c>
    </row>
    <row r="23" spans="1:5" x14ac:dyDescent="0.3">
      <c r="A23" s="61" t="s">
        <v>34</v>
      </c>
      <c r="B23" s="60"/>
      <c r="C23" s="60">
        <v>1</v>
      </c>
    </row>
    <row r="24" spans="1:5" x14ac:dyDescent="0.3">
      <c r="A24" s="61" t="s">
        <v>28</v>
      </c>
      <c r="B24" s="60"/>
      <c r="C24" s="60">
        <v>1</v>
      </c>
    </row>
    <row r="25" spans="1:5" x14ac:dyDescent="0.3">
      <c r="A25" s="63" t="s">
        <v>7</v>
      </c>
      <c r="B25" s="63"/>
      <c r="C25" s="63"/>
      <c r="D25" s="63"/>
      <c r="E25" s="62"/>
    </row>
    <row r="26" spans="1:5" x14ac:dyDescent="0.3">
      <c r="A26" s="25" t="s">
        <v>11</v>
      </c>
      <c r="B26" t="s">
        <v>37</v>
      </c>
      <c r="C26" t="s">
        <v>38</v>
      </c>
      <c r="D26" t="s">
        <v>39</v>
      </c>
    </row>
    <row r="27" spans="1:5" x14ac:dyDescent="0.3">
      <c r="A27" s="25" t="s">
        <v>13</v>
      </c>
      <c r="B27" t="s">
        <v>40</v>
      </c>
    </row>
    <row r="28" spans="1:5" x14ac:dyDescent="0.3">
      <c r="A28" s="25" t="s">
        <v>14</v>
      </c>
      <c r="B28" t="s">
        <v>5</v>
      </c>
    </row>
    <row r="29" spans="1:5" x14ac:dyDescent="0.3">
      <c r="A29" s="25" t="s">
        <v>15</v>
      </c>
      <c r="B29" t="s">
        <v>6</v>
      </c>
    </row>
    <row r="30" spans="1:5" x14ac:dyDescent="0.3">
      <c r="A30" s="25" t="s">
        <v>32</v>
      </c>
      <c r="B30" t="s">
        <v>41</v>
      </c>
    </row>
    <row r="31" spans="1:5" x14ac:dyDescent="0.3">
      <c r="A31" s="25" t="s">
        <v>29</v>
      </c>
      <c r="B31" t="s">
        <v>42</v>
      </c>
    </row>
  </sheetData>
  <dataValidations count="1">
    <dataValidation type="list" allowBlank="1" showInputMessage="1" showErrorMessage="1" sqref="A9:D10 A12" xr:uid="{39985639-8F06-46F1-ACE0-21F6111E8987}">
      <formula1>$A$3:$A$8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70"/>
  <sheetViews>
    <sheetView tabSelected="1" zoomScale="62" zoomScaleNormal="62" workbookViewId="0">
      <selection activeCell="O71" sqref="O71"/>
    </sheetView>
  </sheetViews>
  <sheetFormatPr baseColWidth="10" defaultColWidth="10.88671875" defaultRowHeight="14.4" x14ac:dyDescent="0.3"/>
  <cols>
    <col min="1" max="1" width="9.109375" style="5" customWidth="1"/>
    <col min="2" max="2" width="5.5546875" customWidth="1"/>
    <col min="3" max="3" width="10.33203125" customWidth="1"/>
    <col min="4" max="14" width="7.77734375" customWidth="1"/>
    <col min="15" max="15" width="10.88671875" style="9"/>
  </cols>
  <sheetData>
    <row r="1" spans="1:283" ht="23.25" customHeight="1" thickBot="1" x14ac:dyDescent="0.35">
      <c r="A1" s="7" t="s">
        <v>37</v>
      </c>
      <c r="B1" s="8" t="s">
        <v>38</v>
      </c>
      <c r="C1" s="13" t="s">
        <v>39</v>
      </c>
      <c r="D1" s="29" t="s">
        <v>43</v>
      </c>
      <c r="E1" s="30" t="s">
        <v>44</v>
      </c>
      <c r="F1" s="29" t="s">
        <v>45</v>
      </c>
      <c r="G1" s="29" t="s">
        <v>46</v>
      </c>
      <c r="H1" s="29" t="s">
        <v>47</v>
      </c>
      <c r="I1" s="42" t="s">
        <v>48</v>
      </c>
      <c r="J1" s="42" t="s">
        <v>49</v>
      </c>
      <c r="K1" s="42" t="s">
        <v>50</v>
      </c>
      <c r="L1" s="42" t="s">
        <v>51</v>
      </c>
      <c r="M1" s="42" t="s">
        <v>52</v>
      </c>
      <c r="N1" s="42" t="s">
        <v>53</v>
      </c>
    </row>
    <row r="2" spans="1:283" ht="14.25" customHeight="1" x14ac:dyDescent="0.3">
      <c r="A2" s="70">
        <v>45931</v>
      </c>
      <c r="B2" s="40" t="s">
        <v>0</v>
      </c>
      <c r="C2" s="11">
        <f t="shared" ref="C2:C63" si="0">COUNTIF(D2:N2,"&gt;1")</f>
        <v>3</v>
      </c>
      <c r="D2" s="56"/>
      <c r="E2" s="31"/>
      <c r="F2" s="28"/>
      <c r="G2" s="28"/>
      <c r="H2" s="28">
        <v>3.5</v>
      </c>
      <c r="I2" s="28"/>
      <c r="J2" s="28"/>
      <c r="K2" s="28">
        <v>3.5</v>
      </c>
      <c r="L2" s="28"/>
      <c r="M2" s="45">
        <v>3.5</v>
      </c>
      <c r="N2" s="45"/>
    </row>
    <row r="3" spans="1:283" s="1" customFormat="1" ht="14.25" customHeight="1" x14ac:dyDescent="0.3">
      <c r="A3" s="70"/>
      <c r="B3" s="34" t="s">
        <v>1</v>
      </c>
      <c r="C3" s="11">
        <f t="shared" si="0"/>
        <v>3</v>
      </c>
      <c r="D3" s="57"/>
      <c r="E3" s="32"/>
      <c r="F3" s="27"/>
      <c r="G3" s="27"/>
      <c r="H3" s="27">
        <v>7.5</v>
      </c>
      <c r="I3" s="27"/>
      <c r="J3" s="33"/>
      <c r="K3" s="33">
        <v>7.5</v>
      </c>
      <c r="L3" s="33"/>
      <c r="M3" s="33">
        <v>7.5</v>
      </c>
      <c r="N3" s="55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</row>
    <row r="4" spans="1:283" ht="14.25" customHeight="1" x14ac:dyDescent="0.3">
      <c r="A4" s="43">
        <f>A2+1</f>
        <v>45932</v>
      </c>
      <c r="B4" s="40" t="s">
        <v>0</v>
      </c>
      <c r="C4" s="11">
        <f t="shared" si="0"/>
        <v>3</v>
      </c>
      <c r="D4" s="58"/>
      <c r="E4" s="41"/>
      <c r="F4" s="36">
        <v>3.5</v>
      </c>
      <c r="G4" s="36"/>
      <c r="H4" s="36">
        <v>3.5</v>
      </c>
      <c r="I4" s="36"/>
      <c r="J4" s="36"/>
      <c r="K4" s="36">
        <v>3.5</v>
      </c>
      <c r="L4" s="36"/>
      <c r="M4" s="36"/>
      <c r="N4" s="47"/>
    </row>
    <row r="5" spans="1:283" s="2" customFormat="1" ht="14.25" customHeight="1" x14ac:dyDescent="0.3">
      <c r="A5" s="39"/>
      <c r="B5" s="34" t="s">
        <v>3</v>
      </c>
      <c r="C5" s="11">
        <f t="shared" si="0"/>
        <v>3</v>
      </c>
      <c r="D5" s="57"/>
      <c r="E5" s="32"/>
      <c r="F5" s="27">
        <v>7.5</v>
      </c>
      <c r="G5" s="27"/>
      <c r="H5" s="27">
        <v>7.5</v>
      </c>
      <c r="I5" s="27"/>
      <c r="J5" s="33"/>
      <c r="K5" s="33">
        <v>10</v>
      </c>
      <c r="L5" s="33"/>
      <c r="M5" s="33"/>
      <c r="N5" s="46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</row>
    <row r="6" spans="1:283" ht="14.25" customHeight="1" x14ac:dyDescent="0.3">
      <c r="A6" s="71">
        <f>A4+1</f>
        <v>45933</v>
      </c>
      <c r="B6" s="40" t="s">
        <v>2</v>
      </c>
      <c r="C6" s="11">
        <f t="shared" si="0"/>
        <v>2</v>
      </c>
      <c r="D6" s="58"/>
      <c r="E6" s="41"/>
      <c r="F6" s="36">
        <v>7</v>
      </c>
      <c r="G6" s="36"/>
      <c r="H6" s="36"/>
      <c r="I6" s="36"/>
      <c r="J6" s="36"/>
      <c r="K6" s="36">
        <v>7</v>
      </c>
      <c r="L6" s="36"/>
      <c r="M6" s="36"/>
      <c r="N6" s="47"/>
    </row>
    <row r="7" spans="1:283" s="1" customFormat="1" ht="14.25" customHeight="1" x14ac:dyDescent="0.3">
      <c r="A7" s="71"/>
      <c r="B7" s="34" t="s">
        <v>3</v>
      </c>
      <c r="C7" s="11">
        <f t="shared" si="0"/>
        <v>2</v>
      </c>
      <c r="D7" s="57"/>
      <c r="E7" s="32"/>
      <c r="F7" s="27">
        <v>10</v>
      </c>
      <c r="G7" s="27"/>
      <c r="H7" s="27"/>
      <c r="I7" s="27"/>
      <c r="J7" s="33"/>
      <c r="K7" s="33">
        <v>10</v>
      </c>
      <c r="L7" s="33"/>
      <c r="M7" s="33"/>
      <c r="N7" s="46"/>
      <c r="O7" s="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</row>
    <row r="8" spans="1:283" ht="14.25" customHeight="1" x14ac:dyDescent="0.3">
      <c r="A8" s="71">
        <f>A6+1</f>
        <v>45934</v>
      </c>
      <c r="B8" s="40" t="s">
        <v>2</v>
      </c>
      <c r="C8" s="11">
        <f t="shared" si="0"/>
        <v>1</v>
      </c>
      <c r="D8" s="59"/>
      <c r="E8" s="31"/>
      <c r="F8" s="28"/>
      <c r="G8" s="28"/>
      <c r="H8" s="28"/>
      <c r="I8" s="28"/>
      <c r="J8" s="28"/>
      <c r="K8" s="28">
        <v>7</v>
      </c>
      <c r="L8" s="28"/>
      <c r="M8" s="45"/>
      <c r="N8" s="45"/>
    </row>
    <row r="9" spans="1:283" s="1" customFormat="1" ht="14.25" customHeight="1" x14ac:dyDescent="0.3">
      <c r="A9" s="71"/>
      <c r="B9" s="34" t="s">
        <v>3</v>
      </c>
      <c r="C9" s="11">
        <f t="shared" si="0"/>
        <v>2</v>
      </c>
      <c r="D9" s="57"/>
      <c r="E9" s="32"/>
      <c r="F9" s="27"/>
      <c r="G9" s="27">
        <v>10</v>
      </c>
      <c r="H9" s="27"/>
      <c r="I9" s="27"/>
      <c r="J9" s="33"/>
      <c r="K9" s="33"/>
      <c r="L9" s="33">
        <v>10</v>
      </c>
      <c r="M9" s="33"/>
      <c r="N9" s="55"/>
      <c r="O9" s="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</row>
    <row r="10" spans="1:283" ht="14.25" customHeight="1" x14ac:dyDescent="0.3">
      <c r="A10" s="71">
        <f>A8+1</f>
        <v>45935</v>
      </c>
      <c r="B10" s="40" t="s">
        <v>2</v>
      </c>
      <c r="C10" s="11">
        <f t="shared" si="0"/>
        <v>2</v>
      </c>
      <c r="D10" s="59"/>
      <c r="E10" s="31"/>
      <c r="F10" s="28"/>
      <c r="G10" s="28">
        <v>7</v>
      </c>
      <c r="H10" s="28"/>
      <c r="I10" s="28"/>
      <c r="J10" s="28"/>
      <c r="K10" s="28"/>
      <c r="L10" s="28">
        <v>7</v>
      </c>
      <c r="M10" s="45"/>
      <c r="N10" s="45"/>
    </row>
    <row r="11" spans="1:283" s="1" customFormat="1" ht="14.25" customHeight="1" x14ac:dyDescent="0.3">
      <c r="A11" s="71"/>
      <c r="B11" s="34" t="s">
        <v>1</v>
      </c>
      <c r="C11" s="11">
        <f t="shared" si="0"/>
        <v>4</v>
      </c>
      <c r="D11" s="57"/>
      <c r="E11" s="32"/>
      <c r="F11" s="27"/>
      <c r="G11" s="27">
        <v>7.5</v>
      </c>
      <c r="H11" s="27">
        <v>7.5</v>
      </c>
      <c r="I11" s="27">
        <v>7.5</v>
      </c>
      <c r="J11" s="33">
        <v>7.5</v>
      </c>
      <c r="K11" s="33"/>
      <c r="L11" s="33"/>
      <c r="M11" s="33"/>
      <c r="N11" s="55"/>
      <c r="O11" s="9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</row>
    <row r="12" spans="1:283" ht="14.25" customHeight="1" x14ac:dyDescent="0.3">
      <c r="A12" s="70">
        <f>A10+1</f>
        <v>45936</v>
      </c>
      <c r="B12" s="40" t="s">
        <v>0</v>
      </c>
      <c r="C12" s="11">
        <f t="shared" si="0"/>
        <v>3</v>
      </c>
      <c r="D12" s="58"/>
      <c r="E12" s="41"/>
      <c r="F12" s="36"/>
      <c r="G12" s="36"/>
      <c r="H12" s="36"/>
      <c r="I12" s="36">
        <v>3.5</v>
      </c>
      <c r="J12" s="36"/>
      <c r="K12" s="36">
        <v>3.5</v>
      </c>
      <c r="L12" s="36">
        <v>3.5</v>
      </c>
      <c r="M12" s="36"/>
      <c r="N12" s="47"/>
    </row>
    <row r="13" spans="1:283" s="1" customFormat="1" ht="14.25" customHeight="1" x14ac:dyDescent="0.3">
      <c r="A13" s="70"/>
      <c r="B13" s="34" t="s">
        <v>1</v>
      </c>
      <c r="C13" s="11">
        <f t="shared" si="0"/>
        <v>3</v>
      </c>
      <c r="D13" s="57"/>
      <c r="E13" s="32"/>
      <c r="F13" s="27"/>
      <c r="G13" s="27"/>
      <c r="H13" s="27"/>
      <c r="I13" s="27">
        <v>7.5</v>
      </c>
      <c r="J13" s="33"/>
      <c r="K13" s="33">
        <v>7.5</v>
      </c>
      <c r="L13" s="33">
        <v>7.5</v>
      </c>
      <c r="M13" s="33"/>
      <c r="N13" s="46"/>
      <c r="O13" s="9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</row>
    <row r="14" spans="1:283" ht="14.25" customHeight="1" x14ac:dyDescent="0.3">
      <c r="A14" s="43">
        <f>A12+1</f>
        <v>45937</v>
      </c>
      <c r="B14" s="40" t="s">
        <v>0</v>
      </c>
      <c r="C14" s="11">
        <f t="shared" si="0"/>
        <v>4</v>
      </c>
      <c r="D14" s="58"/>
      <c r="E14" s="41"/>
      <c r="F14" s="36"/>
      <c r="G14" s="36"/>
      <c r="H14" s="36"/>
      <c r="I14" s="36"/>
      <c r="J14" s="36">
        <v>3.5</v>
      </c>
      <c r="K14" s="36">
        <v>3.5</v>
      </c>
      <c r="L14" s="36">
        <v>3.5</v>
      </c>
      <c r="M14" s="36">
        <v>3.5</v>
      </c>
      <c r="N14" s="47"/>
    </row>
    <row r="15" spans="1:283" s="1" customFormat="1" ht="14.25" customHeight="1" x14ac:dyDescent="0.3">
      <c r="A15" s="39"/>
      <c r="B15" s="34" t="s">
        <v>1</v>
      </c>
      <c r="C15" s="11">
        <f t="shared" si="0"/>
        <v>6</v>
      </c>
      <c r="D15" s="57"/>
      <c r="E15" s="32"/>
      <c r="F15" s="27"/>
      <c r="G15" s="27"/>
      <c r="H15" s="27">
        <v>7.5</v>
      </c>
      <c r="I15" s="27">
        <v>7.5</v>
      </c>
      <c r="J15" s="33">
        <v>7.5</v>
      </c>
      <c r="K15" s="33">
        <v>7.5</v>
      </c>
      <c r="L15" s="33">
        <v>7.5</v>
      </c>
      <c r="M15" s="33">
        <v>7.5</v>
      </c>
      <c r="N15" s="46"/>
      <c r="O15" s="9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</row>
    <row r="16" spans="1:283" ht="14.25" customHeight="1" x14ac:dyDescent="0.3">
      <c r="A16" s="70">
        <f>A14+1</f>
        <v>45938</v>
      </c>
      <c r="B16" s="40" t="s">
        <v>0</v>
      </c>
      <c r="C16" s="11">
        <f t="shared" si="0"/>
        <v>4</v>
      </c>
      <c r="D16" s="58"/>
      <c r="E16" s="41"/>
      <c r="F16" s="36"/>
      <c r="G16" s="36"/>
      <c r="H16" s="36"/>
      <c r="I16" s="36"/>
      <c r="J16" s="36">
        <v>3.5</v>
      </c>
      <c r="K16" s="36">
        <v>3.5</v>
      </c>
      <c r="L16" s="36">
        <v>3.5</v>
      </c>
      <c r="M16" s="47">
        <v>3.5</v>
      </c>
      <c r="N16" s="47"/>
    </row>
    <row r="17" spans="1:289" ht="14.25" customHeight="1" x14ac:dyDescent="0.3">
      <c r="A17" s="70"/>
      <c r="B17" s="34" t="s">
        <v>1</v>
      </c>
      <c r="C17" s="11">
        <f t="shared" si="0"/>
        <v>4</v>
      </c>
      <c r="D17" s="57"/>
      <c r="E17" s="32"/>
      <c r="F17" s="27"/>
      <c r="G17" s="27"/>
      <c r="H17" s="27"/>
      <c r="I17" s="27"/>
      <c r="J17" s="33">
        <v>7.5</v>
      </c>
      <c r="K17" s="33">
        <v>7.5</v>
      </c>
      <c r="L17" s="33">
        <v>7.5</v>
      </c>
      <c r="M17" s="46">
        <v>7.5</v>
      </c>
      <c r="N17" s="46"/>
    </row>
    <row r="18" spans="1:289" ht="14.25" customHeight="1" x14ac:dyDescent="0.3">
      <c r="A18" s="43">
        <f>A16+1</f>
        <v>45939</v>
      </c>
      <c r="B18" s="40" t="s">
        <v>0</v>
      </c>
      <c r="C18" s="11">
        <f t="shared" si="0"/>
        <v>4</v>
      </c>
      <c r="D18" s="58"/>
      <c r="E18" s="41"/>
      <c r="F18" s="36">
        <v>3.5</v>
      </c>
      <c r="G18" s="36"/>
      <c r="H18" s="36"/>
      <c r="I18" s="36"/>
      <c r="J18" s="36">
        <v>3.5</v>
      </c>
      <c r="K18" s="36">
        <v>3.5</v>
      </c>
      <c r="L18" s="36">
        <v>3.5</v>
      </c>
      <c r="M18" s="47"/>
      <c r="N18" s="47"/>
    </row>
    <row r="19" spans="1:289" ht="14.25" customHeight="1" x14ac:dyDescent="0.3">
      <c r="A19" s="39"/>
      <c r="B19" s="34" t="s">
        <v>1</v>
      </c>
      <c r="C19" s="11">
        <f t="shared" si="0"/>
        <v>6</v>
      </c>
      <c r="D19" s="57"/>
      <c r="E19" s="32"/>
      <c r="F19" s="27">
        <v>10</v>
      </c>
      <c r="G19" s="27"/>
      <c r="H19" s="27"/>
      <c r="I19" s="27">
        <v>7.5</v>
      </c>
      <c r="J19" s="33">
        <v>7.5</v>
      </c>
      <c r="K19" s="33">
        <v>7.5</v>
      </c>
      <c r="L19" s="33">
        <v>7.5</v>
      </c>
      <c r="M19" s="46">
        <v>7.5</v>
      </c>
      <c r="N19" s="46"/>
    </row>
    <row r="20" spans="1:289" ht="14.25" customHeight="1" x14ac:dyDescent="0.3">
      <c r="A20" s="70">
        <f>A18+1</f>
        <v>45940</v>
      </c>
      <c r="B20" s="40" t="s">
        <v>4</v>
      </c>
      <c r="C20" s="11">
        <f t="shared" si="0"/>
        <v>3</v>
      </c>
      <c r="D20" s="58"/>
      <c r="E20" s="41"/>
      <c r="F20" s="36">
        <v>7</v>
      </c>
      <c r="G20" s="36"/>
      <c r="H20" s="36"/>
      <c r="I20" s="36"/>
      <c r="J20" s="36"/>
      <c r="K20" s="36">
        <v>4.5</v>
      </c>
      <c r="L20" s="36">
        <v>7</v>
      </c>
      <c r="M20" s="47"/>
      <c r="N20" s="47"/>
    </row>
    <row r="21" spans="1:289" ht="14.25" customHeight="1" x14ac:dyDescent="0.3">
      <c r="A21" s="70"/>
      <c r="B21" s="34" t="s">
        <v>3</v>
      </c>
      <c r="C21" s="11">
        <f t="shared" si="0"/>
        <v>2</v>
      </c>
      <c r="D21" s="57">
        <v>10</v>
      </c>
      <c r="E21" s="32"/>
      <c r="F21" s="27"/>
      <c r="G21" s="27"/>
      <c r="H21" s="27"/>
      <c r="I21" s="27"/>
      <c r="J21" s="33"/>
      <c r="K21" s="33">
        <v>10</v>
      </c>
      <c r="L21" s="33"/>
      <c r="M21" s="46"/>
      <c r="N21" s="46"/>
    </row>
    <row r="22" spans="1:289" ht="14.25" customHeight="1" x14ac:dyDescent="0.3">
      <c r="A22" s="71">
        <f>A20+1</f>
        <v>45941</v>
      </c>
      <c r="B22" s="40" t="s">
        <v>2</v>
      </c>
      <c r="C22" s="11">
        <f t="shared" si="0"/>
        <v>4</v>
      </c>
      <c r="D22" s="59">
        <v>7</v>
      </c>
      <c r="E22" s="31"/>
      <c r="F22" s="28"/>
      <c r="G22" s="28"/>
      <c r="H22" s="28"/>
      <c r="I22" s="28"/>
      <c r="J22" s="28">
        <v>7</v>
      </c>
      <c r="K22" s="28">
        <v>7</v>
      </c>
      <c r="L22" s="28"/>
      <c r="M22" s="45"/>
      <c r="N22" s="45">
        <v>7</v>
      </c>
    </row>
    <row r="23" spans="1:289" ht="14.25" customHeight="1" x14ac:dyDescent="0.3">
      <c r="A23" s="71"/>
      <c r="B23" s="34" t="s">
        <v>3</v>
      </c>
      <c r="C23" s="11">
        <f t="shared" si="0"/>
        <v>5</v>
      </c>
      <c r="D23" s="57"/>
      <c r="E23" s="32">
        <v>10</v>
      </c>
      <c r="F23" s="27">
        <v>10</v>
      </c>
      <c r="G23" s="27">
        <v>10</v>
      </c>
      <c r="H23" s="27"/>
      <c r="I23" s="27"/>
      <c r="J23" s="33">
        <v>10</v>
      </c>
      <c r="K23" s="33"/>
      <c r="L23" s="33"/>
      <c r="M23" s="33"/>
      <c r="N23" s="55">
        <v>10</v>
      </c>
    </row>
    <row r="24" spans="1:289" ht="14.25" customHeight="1" x14ac:dyDescent="0.3">
      <c r="A24" s="71">
        <f>A22+1</f>
        <v>45942</v>
      </c>
      <c r="B24" s="40" t="s">
        <v>2</v>
      </c>
      <c r="C24" s="11">
        <f t="shared" si="0"/>
        <v>4</v>
      </c>
      <c r="D24" s="58">
        <v>7</v>
      </c>
      <c r="E24" s="41"/>
      <c r="F24" s="36">
        <v>7</v>
      </c>
      <c r="G24" s="36">
        <v>7</v>
      </c>
      <c r="H24" s="36"/>
      <c r="I24" s="36"/>
      <c r="J24" s="36"/>
      <c r="K24" s="36"/>
      <c r="L24" s="36"/>
      <c r="M24" s="36"/>
      <c r="N24" s="47">
        <v>7</v>
      </c>
    </row>
    <row r="25" spans="1:289" ht="14.25" customHeight="1" x14ac:dyDescent="0.3">
      <c r="A25" s="71"/>
      <c r="B25" s="34" t="s">
        <v>3</v>
      </c>
      <c r="C25" s="11">
        <f t="shared" si="0"/>
        <v>3</v>
      </c>
      <c r="D25" s="57"/>
      <c r="E25" s="32"/>
      <c r="F25" s="27">
        <v>7.5</v>
      </c>
      <c r="G25" s="27">
        <v>7.5</v>
      </c>
      <c r="H25" s="27">
        <v>10</v>
      </c>
      <c r="I25" s="27"/>
      <c r="J25" s="33"/>
      <c r="K25" s="33"/>
      <c r="L25" s="33"/>
      <c r="M25" s="33"/>
      <c r="N25" s="46"/>
    </row>
    <row r="26" spans="1:289" s="4" customFormat="1" ht="14.25" customHeight="1" thickBot="1" x14ac:dyDescent="0.35">
      <c r="A26" s="43">
        <f>A24+1</f>
        <v>45943</v>
      </c>
      <c r="B26" s="40" t="s">
        <v>2</v>
      </c>
      <c r="C26" s="11">
        <f t="shared" si="0"/>
        <v>3</v>
      </c>
      <c r="D26" s="58"/>
      <c r="E26" s="41"/>
      <c r="F26" s="36"/>
      <c r="G26" s="36">
        <v>7</v>
      </c>
      <c r="H26" s="36"/>
      <c r="I26" s="36"/>
      <c r="J26" s="36">
        <v>7</v>
      </c>
      <c r="K26" s="36"/>
      <c r="L26" s="36"/>
      <c r="M26" s="47">
        <v>7</v>
      </c>
      <c r="N26" s="47"/>
      <c r="O26" s="9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 s="6"/>
    </row>
    <row r="27" spans="1:289" ht="14.25" customHeight="1" x14ac:dyDescent="0.3">
      <c r="A27" s="39"/>
      <c r="B27" s="34" t="s">
        <v>3</v>
      </c>
      <c r="C27" s="11">
        <f t="shared" si="0"/>
        <v>4</v>
      </c>
      <c r="D27" s="57"/>
      <c r="E27" s="32"/>
      <c r="F27" s="27"/>
      <c r="G27" s="27">
        <v>10</v>
      </c>
      <c r="H27" s="27"/>
      <c r="I27" s="27"/>
      <c r="J27" s="33">
        <v>10</v>
      </c>
      <c r="K27" s="33"/>
      <c r="L27" s="33">
        <v>10</v>
      </c>
      <c r="M27" s="46">
        <v>10</v>
      </c>
      <c r="N27" s="46"/>
    </row>
    <row r="28" spans="1:289" ht="14.25" customHeight="1" x14ac:dyDescent="0.3">
      <c r="A28" s="43">
        <f>A26+1</f>
        <v>45944</v>
      </c>
      <c r="B28" s="40" t="s">
        <v>2</v>
      </c>
      <c r="C28" s="11">
        <f t="shared" si="0"/>
        <v>4</v>
      </c>
      <c r="D28" s="58"/>
      <c r="E28" s="41"/>
      <c r="F28" s="36"/>
      <c r="G28" s="36"/>
      <c r="H28" s="36"/>
      <c r="I28" s="36">
        <v>7</v>
      </c>
      <c r="J28" s="36">
        <v>7</v>
      </c>
      <c r="K28" s="36"/>
      <c r="L28" s="36">
        <v>7</v>
      </c>
      <c r="M28" s="47">
        <v>7</v>
      </c>
      <c r="N28" s="47"/>
    </row>
    <row r="29" spans="1:289" ht="14.25" customHeight="1" x14ac:dyDescent="0.3">
      <c r="A29" s="39"/>
      <c r="B29" s="34" t="s">
        <v>3</v>
      </c>
      <c r="C29" s="11">
        <f t="shared" si="0"/>
        <v>5</v>
      </c>
      <c r="D29" s="57"/>
      <c r="E29" s="32"/>
      <c r="F29" s="27">
        <v>10</v>
      </c>
      <c r="G29" s="27"/>
      <c r="H29" s="27">
        <v>10</v>
      </c>
      <c r="I29" s="27">
        <v>10</v>
      </c>
      <c r="J29" s="33">
        <v>10</v>
      </c>
      <c r="K29" s="33"/>
      <c r="L29" s="33">
        <v>10</v>
      </c>
      <c r="M29" s="46"/>
      <c r="N29" s="46"/>
    </row>
    <row r="30" spans="1:289" ht="14.25" customHeight="1" x14ac:dyDescent="0.3">
      <c r="A30" s="43">
        <f>A28+1</f>
        <v>45945</v>
      </c>
      <c r="B30" s="40" t="s">
        <v>2</v>
      </c>
      <c r="C30" s="11">
        <f t="shared" si="0"/>
        <v>5</v>
      </c>
      <c r="D30" s="58"/>
      <c r="E30" s="41"/>
      <c r="F30" s="36">
        <v>7</v>
      </c>
      <c r="G30" s="36">
        <v>7</v>
      </c>
      <c r="H30" s="36"/>
      <c r="I30" s="36">
        <v>7</v>
      </c>
      <c r="J30" s="36">
        <v>7</v>
      </c>
      <c r="K30" s="36"/>
      <c r="L30" s="36">
        <v>7</v>
      </c>
      <c r="M30" s="47"/>
      <c r="N30" s="47"/>
    </row>
    <row r="31" spans="1:289" ht="14.25" customHeight="1" x14ac:dyDescent="0.3">
      <c r="A31" s="39"/>
      <c r="B31" s="34" t="s">
        <v>3</v>
      </c>
      <c r="C31" s="11">
        <f t="shared" si="0"/>
        <v>5</v>
      </c>
      <c r="D31" s="57"/>
      <c r="E31" s="32"/>
      <c r="F31" s="27">
        <v>10</v>
      </c>
      <c r="G31" s="27">
        <v>10</v>
      </c>
      <c r="H31" s="27"/>
      <c r="I31" s="27">
        <v>10</v>
      </c>
      <c r="J31" s="33">
        <v>10</v>
      </c>
      <c r="K31" s="33"/>
      <c r="L31" s="33">
        <v>10</v>
      </c>
      <c r="M31" s="46"/>
      <c r="N31" s="46"/>
    </row>
    <row r="32" spans="1:289" ht="14.25" customHeight="1" x14ac:dyDescent="0.3">
      <c r="A32" s="43">
        <f>A30+1</f>
        <v>45946</v>
      </c>
      <c r="B32" s="40" t="s">
        <v>2</v>
      </c>
      <c r="C32" s="11">
        <f t="shared" si="0"/>
        <v>3</v>
      </c>
      <c r="D32" s="58"/>
      <c r="E32" s="41"/>
      <c r="F32" s="36">
        <v>7</v>
      </c>
      <c r="G32" s="36"/>
      <c r="H32" s="36"/>
      <c r="I32" s="36"/>
      <c r="J32" s="36">
        <v>7</v>
      </c>
      <c r="K32" s="36"/>
      <c r="L32" s="36">
        <v>7</v>
      </c>
      <c r="M32" s="47"/>
      <c r="N32" s="47"/>
    </row>
    <row r="33" spans="1:14" ht="14.25" customHeight="1" x14ac:dyDescent="0.3">
      <c r="A33" s="39"/>
      <c r="B33" s="34" t="s">
        <v>3</v>
      </c>
      <c r="C33" s="11">
        <f t="shared" si="0"/>
        <v>6</v>
      </c>
      <c r="D33" s="57"/>
      <c r="E33" s="32"/>
      <c r="F33" s="27">
        <v>10</v>
      </c>
      <c r="G33" s="27"/>
      <c r="H33" s="27">
        <v>10</v>
      </c>
      <c r="I33" s="27">
        <v>10</v>
      </c>
      <c r="J33" s="33">
        <v>10</v>
      </c>
      <c r="K33" s="33"/>
      <c r="L33" s="33">
        <v>10</v>
      </c>
      <c r="M33" s="46">
        <v>10</v>
      </c>
      <c r="N33" s="46"/>
    </row>
    <row r="34" spans="1:14" ht="14.25" customHeight="1" x14ac:dyDescent="0.3">
      <c r="A34" s="43">
        <f>A32+1</f>
        <v>45947</v>
      </c>
      <c r="B34" s="35" t="s">
        <v>2</v>
      </c>
      <c r="C34" s="11">
        <f t="shared" si="0"/>
        <v>5</v>
      </c>
      <c r="D34" s="58"/>
      <c r="E34" s="41"/>
      <c r="F34" s="36">
        <v>7</v>
      </c>
      <c r="G34" s="36"/>
      <c r="H34" s="36">
        <v>7</v>
      </c>
      <c r="I34" s="36"/>
      <c r="J34" s="36">
        <v>7</v>
      </c>
      <c r="K34" s="36"/>
      <c r="L34" s="36">
        <v>7</v>
      </c>
      <c r="M34" s="47">
        <v>7</v>
      </c>
      <c r="N34" s="47"/>
    </row>
    <row r="35" spans="1:14" ht="14.25" customHeight="1" x14ac:dyDescent="0.3">
      <c r="A35" s="39"/>
      <c r="B35" s="34" t="s">
        <v>3</v>
      </c>
      <c r="C35" s="11">
        <f t="shared" si="0"/>
        <v>4</v>
      </c>
      <c r="D35" s="57"/>
      <c r="E35" s="32"/>
      <c r="F35" s="27">
        <v>10</v>
      </c>
      <c r="G35" s="27"/>
      <c r="H35" s="27"/>
      <c r="I35" s="27"/>
      <c r="J35" s="33">
        <v>10</v>
      </c>
      <c r="K35" s="33"/>
      <c r="L35" s="33">
        <v>10</v>
      </c>
      <c r="M35" s="46">
        <v>10</v>
      </c>
      <c r="N35" s="46"/>
    </row>
    <row r="36" spans="1:14" x14ac:dyDescent="0.3">
      <c r="A36" s="71">
        <f>A34+1</f>
        <v>45948</v>
      </c>
      <c r="B36" s="40" t="s">
        <v>2</v>
      </c>
      <c r="C36" s="11">
        <f t="shared" si="0"/>
        <v>2</v>
      </c>
      <c r="D36" s="58"/>
      <c r="E36" s="41"/>
      <c r="F36" s="36">
        <v>7</v>
      </c>
      <c r="G36" s="36"/>
      <c r="H36" s="36"/>
      <c r="I36" s="36"/>
      <c r="J36" s="36">
        <v>7</v>
      </c>
      <c r="K36" s="36"/>
      <c r="L36" s="36"/>
      <c r="M36" s="47"/>
      <c r="N36" s="47"/>
    </row>
    <row r="37" spans="1:14" x14ac:dyDescent="0.3">
      <c r="A37" s="71"/>
      <c r="B37" s="34" t="s">
        <v>3</v>
      </c>
      <c r="C37" s="11">
        <f t="shared" si="0"/>
        <v>4</v>
      </c>
      <c r="D37" s="57"/>
      <c r="E37" s="32"/>
      <c r="F37" s="27">
        <v>10</v>
      </c>
      <c r="G37" s="27"/>
      <c r="H37" s="27"/>
      <c r="I37" s="27">
        <v>10</v>
      </c>
      <c r="J37" s="33">
        <v>10</v>
      </c>
      <c r="K37" s="33"/>
      <c r="L37" s="33"/>
      <c r="M37" s="46"/>
      <c r="N37" s="46">
        <v>10</v>
      </c>
    </row>
    <row r="38" spans="1:14" x14ac:dyDescent="0.3">
      <c r="A38" s="71">
        <f>A36+1</f>
        <v>45949</v>
      </c>
      <c r="B38" s="35" t="s">
        <v>2</v>
      </c>
      <c r="C38" s="11">
        <f t="shared" si="0"/>
        <v>4</v>
      </c>
      <c r="D38" s="58"/>
      <c r="E38" s="41"/>
      <c r="F38" s="36">
        <v>7</v>
      </c>
      <c r="G38" s="36"/>
      <c r="H38" s="36"/>
      <c r="I38" s="36">
        <v>7</v>
      </c>
      <c r="J38" s="36">
        <v>7</v>
      </c>
      <c r="K38" s="36"/>
      <c r="L38" s="36"/>
      <c r="M38" s="47"/>
      <c r="N38" s="47">
        <v>7</v>
      </c>
    </row>
    <row r="39" spans="1:14" x14ac:dyDescent="0.3">
      <c r="A39" s="71"/>
      <c r="B39" s="34" t="s">
        <v>1</v>
      </c>
      <c r="C39" s="11">
        <f t="shared" si="0"/>
        <v>5</v>
      </c>
      <c r="D39" s="57"/>
      <c r="E39" s="32"/>
      <c r="F39" s="27">
        <v>7.5</v>
      </c>
      <c r="G39" s="27"/>
      <c r="H39" s="27"/>
      <c r="I39" s="27">
        <v>7.5</v>
      </c>
      <c r="J39" s="33">
        <v>10</v>
      </c>
      <c r="K39" s="33"/>
      <c r="L39" s="33"/>
      <c r="M39" s="46">
        <v>10</v>
      </c>
      <c r="N39" s="46">
        <v>10</v>
      </c>
    </row>
    <row r="40" spans="1:14" ht="21" customHeight="1" x14ac:dyDescent="0.3">
      <c r="A40" s="43">
        <f>A38+1</f>
        <v>45950</v>
      </c>
      <c r="B40" s="40" t="s">
        <v>0</v>
      </c>
      <c r="C40" s="11">
        <f t="shared" si="0"/>
        <v>7</v>
      </c>
      <c r="D40" s="58"/>
      <c r="E40" s="41"/>
      <c r="F40" s="36">
        <v>3.5</v>
      </c>
      <c r="G40" s="36">
        <v>3.5</v>
      </c>
      <c r="H40" s="36">
        <v>3.5</v>
      </c>
      <c r="I40" s="36"/>
      <c r="J40" s="36">
        <v>7.5</v>
      </c>
      <c r="K40" s="36">
        <v>3.5</v>
      </c>
      <c r="L40" s="36">
        <v>3.5</v>
      </c>
      <c r="M40" s="47">
        <v>3.5</v>
      </c>
      <c r="N40" s="47"/>
    </row>
    <row r="41" spans="1:14" x14ac:dyDescent="0.3">
      <c r="A41" s="39"/>
      <c r="B41" s="34" t="s">
        <v>1</v>
      </c>
      <c r="C41" s="11">
        <f t="shared" si="0"/>
        <v>5</v>
      </c>
      <c r="D41" s="57"/>
      <c r="E41" s="32"/>
      <c r="F41" s="27">
        <v>7.5</v>
      </c>
      <c r="G41" s="27">
        <v>7.5</v>
      </c>
      <c r="H41" s="27">
        <v>7.5</v>
      </c>
      <c r="I41" s="27"/>
      <c r="J41" s="33"/>
      <c r="K41" s="33"/>
      <c r="L41" s="33">
        <v>7.5</v>
      </c>
      <c r="M41" s="46">
        <v>7.5</v>
      </c>
      <c r="N41" s="46"/>
    </row>
    <row r="42" spans="1:14" x14ac:dyDescent="0.3">
      <c r="A42" s="44">
        <f>A40+1</f>
        <v>45951</v>
      </c>
      <c r="B42" s="35" t="s">
        <v>0</v>
      </c>
      <c r="C42" s="11">
        <f t="shared" si="0"/>
        <v>4</v>
      </c>
      <c r="D42" s="58"/>
      <c r="E42" s="41"/>
      <c r="F42" s="36">
        <v>3.5</v>
      </c>
      <c r="G42" s="36"/>
      <c r="H42" s="36"/>
      <c r="I42" s="36"/>
      <c r="J42" s="36">
        <v>3.5</v>
      </c>
      <c r="K42" s="36"/>
      <c r="L42" s="36">
        <v>3.5</v>
      </c>
      <c r="M42" s="47">
        <v>3.5</v>
      </c>
      <c r="N42" s="47"/>
    </row>
    <row r="43" spans="1:14" x14ac:dyDescent="0.3">
      <c r="A43" s="44"/>
      <c r="B43" s="34" t="s">
        <v>1</v>
      </c>
      <c r="C43" s="11">
        <f t="shared" si="0"/>
        <v>6</v>
      </c>
      <c r="D43" s="57"/>
      <c r="E43" s="32"/>
      <c r="F43" s="27">
        <v>7.5</v>
      </c>
      <c r="G43" s="27"/>
      <c r="H43" s="27">
        <v>7.5</v>
      </c>
      <c r="I43" s="27">
        <v>7.5</v>
      </c>
      <c r="J43" s="33">
        <v>7.5</v>
      </c>
      <c r="K43" s="33"/>
      <c r="L43" s="33">
        <v>7.5</v>
      </c>
      <c r="M43" s="46">
        <v>7.5</v>
      </c>
      <c r="N43" s="46"/>
    </row>
    <row r="44" spans="1:14" x14ac:dyDescent="0.3">
      <c r="A44" s="43">
        <f>A42+1</f>
        <v>45952</v>
      </c>
      <c r="B44" s="35" t="s">
        <v>0</v>
      </c>
      <c r="C44" s="11">
        <f t="shared" si="0"/>
        <v>4</v>
      </c>
      <c r="D44" s="58"/>
      <c r="E44" s="41"/>
      <c r="F44" s="36">
        <v>3.5</v>
      </c>
      <c r="G44" s="36">
        <v>3.5</v>
      </c>
      <c r="H44" s="36"/>
      <c r="I44" s="36"/>
      <c r="J44" s="36"/>
      <c r="K44" s="36">
        <v>3.5</v>
      </c>
      <c r="L44" s="36">
        <v>3.5</v>
      </c>
      <c r="M44" s="47"/>
      <c r="N44" s="47"/>
    </row>
    <row r="45" spans="1:14" x14ac:dyDescent="0.3">
      <c r="A45" s="39"/>
      <c r="B45" s="34" t="s">
        <v>1</v>
      </c>
      <c r="C45" s="11">
        <f t="shared" si="0"/>
        <v>3</v>
      </c>
      <c r="D45" s="57"/>
      <c r="E45" s="32"/>
      <c r="F45" s="27">
        <v>7.5</v>
      </c>
      <c r="G45" s="27">
        <v>7.5</v>
      </c>
      <c r="H45" s="27"/>
      <c r="I45" s="27"/>
      <c r="J45" s="33"/>
      <c r="K45" s="33"/>
      <c r="L45" s="33">
        <v>7.5</v>
      </c>
      <c r="M45" s="46"/>
      <c r="N45" s="46"/>
    </row>
    <row r="46" spans="1:14" x14ac:dyDescent="0.3">
      <c r="A46" s="43">
        <f>A44+1</f>
        <v>45953</v>
      </c>
      <c r="B46" s="35" t="s">
        <v>0</v>
      </c>
      <c r="C46" s="11">
        <f t="shared" si="0"/>
        <v>4</v>
      </c>
      <c r="D46" s="58"/>
      <c r="E46" s="41"/>
      <c r="F46" s="36"/>
      <c r="G46" s="36">
        <v>3.5</v>
      </c>
      <c r="H46" s="36"/>
      <c r="I46" s="36"/>
      <c r="J46" s="36"/>
      <c r="K46" s="36">
        <v>3.5</v>
      </c>
      <c r="L46" s="36">
        <v>3.5</v>
      </c>
      <c r="M46" s="47">
        <v>3.5</v>
      </c>
      <c r="N46" s="47"/>
    </row>
    <row r="47" spans="1:14" x14ac:dyDescent="0.3">
      <c r="A47" s="39"/>
      <c r="B47" s="34" t="s">
        <v>1</v>
      </c>
      <c r="C47" s="11">
        <f t="shared" si="0"/>
        <v>5</v>
      </c>
      <c r="D47" s="57"/>
      <c r="E47" s="32"/>
      <c r="F47" s="27"/>
      <c r="G47" s="27">
        <v>7.5</v>
      </c>
      <c r="H47" s="27"/>
      <c r="I47" s="27">
        <v>7.5</v>
      </c>
      <c r="J47" s="33"/>
      <c r="K47" s="33">
        <v>7.5</v>
      </c>
      <c r="L47" s="33">
        <v>7.5</v>
      </c>
      <c r="M47" s="46">
        <v>7.5</v>
      </c>
      <c r="N47" s="46"/>
    </row>
    <row r="48" spans="1:14" x14ac:dyDescent="0.3">
      <c r="A48" s="43">
        <f>A46+1</f>
        <v>45954</v>
      </c>
      <c r="B48" s="40" t="s">
        <v>4</v>
      </c>
      <c r="C48" s="11">
        <f t="shared" si="0"/>
        <v>1</v>
      </c>
      <c r="D48" s="58"/>
      <c r="E48" s="41"/>
      <c r="F48" s="36"/>
      <c r="G48" s="36"/>
      <c r="H48" s="36"/>
      <c r="I48" s="36"/>
      <c r="J48" s="36"/>
      <c r="K48" s="36">
        <v>4.5</v>
      </c>
      <c r="L48" s="36"/>
      <c r="M48" s="47"/>
      <c r="N48" s="47"/>
    </row>
    <row r="49" spans="1:14" x14ac:dyDescent="0.3">
      <c r="A49" s="39"/>
      <c r="B49" s="34" t="s">
        <v>3</v>
      </c>
      <c r="C49" s="11">
        <f t="shared" si="0"/>
        <v>3</v>
      </c>
      <c r="D49" s="57">
        <v>10</v>
      </c>
      <c r="E49" s="32"/>
      <c r="F49" s="27"/>
      <c r="G49" s="27"/>
      <c r="H49" s="27"/>
      <c r="I49" s="27"/>
      <c r="J49" s="33"/>
      <c r="K49" s="33">
        <v>10</v>
      </c>
      <c r="L49" s="33"/>
      <c r="M49" s="46"/>
      <c r="N49" s="46">
        <v>10</v>
      </c>
    </row>
    <row r="50" spans="1:14" x14ac:dyDescent="0.3">
      <c r="A50" s="71">
        <f>A48+1</f>
        <v>45955</v>
      </c>
      <c r="B50" s="35" t="s">
        <v>2</v>
      </c>
      <c r="C50" s="11">
        <f t="shared" si="0"/>
        <v>3</v>
      </c>
      <c r="D50" s="58">
        <v>7</v>
      </c>
      <c r="E50" s="41"/>
      <c r="F50" s="36"/>
      <c r="G50" s="36"/>
      <c r="H50" s="36"/>
      <c r="I50" s="36"/>
      <c r="J50" s="36"/>
      <c r="K50" s="36">
        <v>7</v>
      </c>
      <c r="L50" s="36"/>
      <c r="M50" s="47"/>
      <c r="N50" s="47">
        <v>7</v>
      </c>
    </row>
    <row r="51" spans="1:14" x14ac:dyDescent="0.3">
      <c r="A51" s="71"/>
      <c r="B51" s="34" t="s">
        <v>3</v>
      </c>
      <c r="C51" s="11">
        <f t="shared" si="0"/>
        <v>2</v>
      </c>
      <c r="D51" s="57"/>
      <c r="E51" s="32">
        <v>10</v>
      </c>
      <c r="F51" s="27"/>
      <c r="G51" s="27"/>
      <c r="H51" s="27"/>
      <c r="I51" s="27"/>
      <c r="J51" s="33"/>
      <c r="K51" s="33"/>
      <c r="L51" s="33"/>
      <c r="M51" s="46"/>
      <c r="N51" s="46">
        <v>10</v>
      </c>
    </row>
    <row r="52" spans="1:14" x14ac:dyDescent="0.3">
      <c r="A52" s="49">
        <f>A50+1</f>
        <v>45956</v>
      </c>
      <c r="B52" s="40" t="s">
        <v>2</v>
      </c>
      <c r="C52" s="11">
        <f t="shared" si="0"/>
        <v>2</v>
      </c>
      <c r="D52" s="58">
        <v>7</v>
      </c>
      <c r="E52" s="41">
        <v>7</v>
      </c>
      <c r="F52" s="36"/>
      <c r="G52" s="36"/>
      <c r="H52" s="36"/>
      <c r="I52" s="36"/>
      <c r="J52" s="36"/>
      <c r="K52" s="36"/>
      <c r="L52" s="36"/>
      <c r="M52" s="47"/>
      <c r="N52" s="47"/>
    </row>
    <row r="53" spans="1:14" x14ac:dyDescent="0.3">
      <c r="A53" s="48"/>
      <c r="B53" s="34" t="s">
        <v>1</v>
      </c>
      <c r="C53" s="11">
        <f t="shared" si="0"/>
        <v>2</v>
      </c>
      <c r="D53" s="57"/>
      <c r="E53" s="32">
        <v>7.5</v>
      </c>
      <c r="F53" s="27"/>
      <c r="G53" s="27"/>
      <c r="H53" s="27"/>
      <c r="I53" s="27">
        <v>7.5</v>
      </c>
      <c r="J53" s="33"/>
      <c r="K53" s="33"/>
      <c r="L53" s="33"/>
      <c r="M53" s="46"/>
      <c r="N53" s="46"/>
    </row>
    <row r="54" spans="1:14" x14ac:dyDescent="0.3">
      <c r="A54" s="43">
        <f>A52+1</f>
        <v>45957</v>
      </c>
      <c r="B54" s="35" t="s">
        <v>0</v>
      </c>
      <c r="C54" s="11">
        <f t="shared" si="0"/>
        <v>3</v>
      </c>
      <c r="D54" s="58"/>
      <c r="E54" s="41">
        <v>3.5</v>
      </c>
      <c r="F54" s="36"/>
      <c r="G54" s="36">
        <v>3.5</v>
      </c>
      <c r="H54" s="36"/>
      <c r="I54" s="36"/>
      <c r="J54" s="36"/>
      <c r="K54" s="36">
        <v>3.5</v>
      </c>
      <c r="L54" s="36"/>
      <c r="M54" s="47"/>
      <c r="N54" s="47"/>
    </row>
    <row r="55" spans="1:14" x14ac:dyDescent="0.3">
      <c r="A55" s="39"/>
      <c r="B55" s="34" t="s">
        <v>1</v>
      </c>
      <c r="C55" s="11">
        <f t="shared" si="0"/>
        <v>2</v>
      </c>
      <c r="D55" s="57"/>
      <c r="E55" s="32">
        <v>7.5</v>
      </c>
      <c r="F55" s="27"/>
      <c r="G55" s="27">
        <v>7.5</v>
      </c>
      <c r="H55" s="27"/>
      <c r="I55" s="27"/>
      <c r="J55" s="33"/>
      <c r="K55" s="33"/>
      <c r="L55" s="33"/>
      <c r="M55" s="46"/>
      <c r="N55" s="46"/>
    </row>
    <row r="56" spans="1:14" x14ac:dyDescent="0.3">
      <c r="A56" s="70">
        <f>A54+1</f>
        <v>45958</v>
      </c>
      <c r="B56" s="35" t="s">
        <v>0</v>
      </c>
      <c r="C56" s="11">
        <f t="shared" si="0"/>
        <v>1</v>
      </c>
      <c r="D56" s="59"/>
      <c r="E56" s="31">
        <v>3.5</v>
      </c>
      <c r="F56" s="28"/>
      <c r="G56" s="28"/>
      <c r="H56" s="28"/>
      <c r="I56" s="28"/>
      <c r="J56" s="28"/>
      <c r="K56" s="28"/>
      <c r="L56" s="28"/>
      <c r="M56" s="45"/>
      <c r="N56" s="45"/>
    </row>
    <row r="57" spans="1:14" x14ac:dyDescent="0.3">
      <c r="A57" s="70"/>
      <c r="B57" s="34" t="s">
        <v>1</v>
      </c>
      <c r="C57" s="11">
        <f t="shared" si="0"/>
        <v>2</v>
      </c>
      <c r="D57" s="57"/>
      <c r="E57" s="32">
        <v>7.5</v>
      </c>
      <c r="F57" s="27"/>
      <c r="G57" s="27"/>
      <c r="H57" s="27"/>
      <c r="I57" s="27">
        <v>7.5</v>
      </c>
      <c r="J57" s="33"/>
      <c r="K57" s="33"/>
      <c r="L57" s="33"/>
      <c r="M57" s="33"/>
      <c r="N57" s="55"/>
    </row>
    <row r="58" spans="1:14" x14ac:dyDescent="0.3">
      <c r="A58" s="43">
        <f>A56+1</f>
        <v>45959</v>
      </c>
      <c r="B58" s="34" t="s">
        <v>0</v>
      </c>
      <c r="C58" s="11">
        <f t="shared" si="0"/>
        <v>3</v>
      </c>
      <c r="D58" s="58"/>
      <c r="E58" s="41"/>
      <c r="F58" s="36"/>
      <c r="G58" s="36">
        <v>3.5</v>
      </c>
      <c r="H58" s="36"/>
      <c r="I58" s="36">
        <v>3.5</v>
      </c>
      <c r="J58" s="36"/>
      <c r="K58" s="36">
        <v>3.5</v>
      </c>
      <c r="L58" s="36"/>
      <c r="M58" s="47"/>
      <c r="N58" s="47"/>
    </row>
    <row r="59" spans="1:14" x14ac:dyDescent="0.3">
      <c r="A59" s="39"/>
      <c r="B59" s="34" t="s">
        <v>1</v>
      </c>
      <c r="C59" s="11">
        <f t="shared" si="0"/>
        <v>2</v>
      </c>
      <c r="D59" s="57"/>
      <c r="E59" s="32"/>
      <c r="F59" s="27"/>
      <c r="G59" s="27">
        <v>7.5</v>
      </c>
      <c r="H59" s="27"/>
      <c r="I59" s="27">
        <v>7.5</v>
      </c>
      <c r="J59" s="33"/>
      <c r="K59" s="33"/>
      <c r="L59" s="33"/>
      <c r="M59" s="46"/>
      <c r="N59" s="46"/>
    </row>
    <row r="60" spans="1:14" x14ac:dyDescent="0.3">
      <c r="A60" s="70">
        <f>A58+1</f>
        <v>45960</v>
      </c>
      <c r="B60" s="34" t="s">
        <v>0</v>
      </c>
      <c r="C60" s="11">
        <f t="shared" si="0"/>
        <v>3</v>
      </c>
      <c r="D60" s="59"/>
      <c r="E60" s="31">
        <v>3.5</v>
      </c>
      <c r="F60" s="28"/>
      <c r="G60" s="28">
        <v>3.5</v>
      </c>
      <c r="H60" s="28"/>
      <c r="I60" s="28"/>
      <c r="J60" s="28"/>
      <c r="K60" s="28">
        <v>3.5</v>
      </c>
      <c r="L60" s="28"/>
      <c r="M60" s="45"/>
      <c r="N60" s="45"/>
    </row>
    <row r="61" spans="1:14" x14ac:dyDescent="0.3">
      <c r="A61" s="70"/>
      <c r="B61" s="34" t="s">
        <v>1</v>
      </c>
      <c r="C61" s="11">
        <f t="shared" si="0"/>
        <v>4</v>
      </c>
      <c r="D61" s="57"/>
      <c r="E61" s="32">
        <v>7.5</v>
      </c>
      <c r="F61" s="27"/>
      <c r="G61" s="27">
        <v>7.5</v>
      </c>
      <c r="H61" s="27"/>
      <c r="I61" s="27">
        <v>7.5</v>
      </c>
      <c r="J61" s="33"/>
      <c r="K61" s="33">
        <v>7.5</v>
      </c>
      <c r="L61" s="33"/>
      <c r="M61" s="33"/>
      <c r="N61" s="55"/>
    </row>
    <row r="62" spans="1:14" x14ac:dyDescent="0.3">
      <c r="A62" s="70">
        <f>A60+1</f>
        <v>45961</v>
      </c>
      <c r="B62" s="35" t="s">
        <v>0</v>
      </c>
      <c r="C62" s="11">
        <f t="shared" si="0"/>
        <v>2</v>
      </c>
      <c r="D62" s="59"/>
      <c r="E62" s="31"/>
      <c r="F62" s="28"/>
      <c r="G62" s="28">
        <v>3.5</v>
      </c>
      <c r="H62" s="28"/>
      <c r="I62" s="28"/>
      <c r="J62" s="28"/>
      <c r="K62" s="28">
        <v>3.5</v>
      </c>
      <c r="L62" s="28"/>
      <c r="M62" s="45"/>
      <c r="N62" s="45"/>
    </row>
    <row r="63" spans="1:14" x14ac:dyDescent="0.3">
      <c r="A63" s="70"/>
      <c r="B63" s="34" t="s">
        <v>1</v>
      </c>
      <c r="C63" s="11">
        <f t="shared" si="0"/>
        <v>2</v>
      </c>
      <c r="D63" s="57"/>
      <c r="E63" s="32"/>
      <c r="F63" s="27"/>
      <c r="G63" s="27">
        <v>7.5</v>
      </c>
      <c r="H63" s="27"/>
      <c r="I63" s="27"/>
      <c r="J63" s="33"/>
      <c r="K63" s="33">
        <v>7.5</v>
      </c>
      <c r="L63" s="33"/>
      <c r="M63" s="33"/>
      <c r="N63" s="55"/>
    </row>
    <row r="64" spans="1:14" ht="15" thickBot="1" x14ac:dyDescent="0.35">
      <c r="A64" s="22"/>
      <c r="B64" s="23"/>
      <c r="C64" s="23"/>
      <c r="D64" s="23"/>
      <c r="E64" s="23"/>
      <c r="F64" s="23"/>
      <c r="G64" s="53"/>
      <c r="H64" s="53"/>
      <c r="I64" s="53"/>
      <c r="J64" s="53"/>
      <c r="K64" s="53"/>
      <c r="L64" s="53"/>
      <c r="M64" s="53"/>
      <c r="N64" s="53"/>
    </row>
    <row r="65" spans="1:14" x14ac:dyDescent="0.3">
      <c r="A65" s="72" t="s">
        <v>12</v>
      </c>
      <c r="B65" s="73"/>
      <c r="C65" s="18" t="s">
        <v>5</v>
      </c>
      <c r="D65" s="37">
        <v>0</v>
      </c>
      <c r="E65" s="37">
        <v>10</v>
      </c>
      <c r="F65" s="37">
        <v>40</v>
      </c>
      <c r="G65" s="37">
        <v>25</v>
      </c>
      <c r="H65" s="37">
        <v>40</v>
      </c>
      <c r="I65" s="50">
        <v>20</v>
      </c>
      <c r="J65" s="37">
        <v>40</v>
      </c>
      <c r="K65" s="37">
        <v>25</v>
      </c>
      <c r="L65" s="37">
        <v>40</v>
      </c>
      <c r="M65" s="50">
        <v>30</v>
      </c>
      <c r="N65" s="51">
        <v>50</v>
      </c>
    </row>
    <row r="66" spans="1:14" x14ac:dyDescent="0.3">
      <c r="A66" s="72"/>
      <c r="B66" s="73"/>
      <c r="C66" s="19" t="s">
        <v>6</v>
      </c>
      <c r="D66" s="38">
        <v>10</v>
      </c>
      <c r="E66" s="38">
        <v>20</v>
      </c>
      <c r="F66" s="38">
        <v>50</v>
      </c>
      <c r="G66" s="38">
        <v>35</v>
      </c>
      <c r="H66" s="38">
        <v>55</v>
      </c>
      <c r="I66" s="38">
        <v>35</v>
      </c>
      <c r="J66" s="38">
        <v>70</v>
      </c>
      <c r="K66" s="38">
        <v>35</v>
      </c>
      <c r="L66" s="38">
        <v>70</v>
      </c>
      <c r="M66" s="38">
        <v>35</v>
      </c>
      <c r="N66" s="52">
        <v>60</v>
      </c>
    </row>
    <row r="67" spans="1:14" ht="15" thickBot="1" x14ac:dyDescent="0.35">
      <c r="A67" s="72"/>
      <c r="B67" s="73"/>
      <c r="C67" s="16" t="s">
        <v>54</v>
      </c>
      <c r="D67" s="21">
        <f>SUM(D2:D63)</f>
        <v>48</v>
      </c>
      <c r="E67" s="21">
        <f t="shared" ref="E67:N67" si="1">SUM(E2:E63)</f>
        <v>67.5</v>
      </c>
      <c r="F67" s="21">
        <f t="shared" si="1"/>
        <v>198.5</v>
      </c>
      <c r="G67" s="21">
        <f t="shared" si="1"/>
        <v>160</v>
      </c>
      <c r="H67" s="21">
        <f t="shared" si="1"/>
        <v>92.5</v>
      </c>
      <c r="I67" s="21">
        <f t="shared" si="1"/>
        <v>150.5</v>
      </c>
      <c r="J67" s="21">
        <f t="shared" si="1"/>
        <v>195</v>
      </c>
      <c r="K67" s="21">
        <f>SUM(K2:K63)</f>
        <v>182.5</v>
      </c>
      <c r="L67" s="21">
        <f t="shared" si="1"/>
        <v>190</v>
      </c>
      <c r="M67" s="21">
        <f t="shared" si="1"/>
        <v>134.5</v>
      </c>
      <c r="N67" s="21">
        <f t="shared" si="1"/>
        <v>78</v>
      </c>
    </row>
    <row r="68" spans="1:14" ht="54.6" customHeight="1" thickBot="1" x14ac:dyDescent="0.35">
      <c r="A68" s="14"/>
      <c r="B68" s="15"/>
      <c r="C68" s="17" t="s">
        <v>41</v>
      </c>
      <c r="D68" s="20" t="b">
        <v>0</v>
      </c>
      <c r="E68" s="20" t="b">
        <v>1</v>
      </c>
      <c r="F68" s="20" t="b">
        <v>0</v>
      </c>
      <c r="G68" s="20" t="b">
        <v>1</v>
      </c>
      <c r="H68" s="20" t="b">
        <v>0</v>
      </c>
      <c r="I68" s="20" t="b">
        <v>1</v>
      </c>
      <c r="J68" s="20" t="b">
        <v>1</v>
      </c>
      <c r="K68" s="20" t="b">
        <v>1</v>
      </c>
      <c r="L68" s="20" t="b">
        <v>0</v>
      </c>
      <c r="M68" s="20" t="b">
        <v>0</v>
      </c>
      <c r="N68" s="20" t="b">
        <v>1</v>
      </c>
    </row>
    <row r="69" spans="1:14" ht="38.4" customHeight="1" thickBot="1" x14ac:dyDescent="0.35">
      <c r="A69" s="14"/>
      <c r="B69" s="15"/>
      <c r="C69" s="17" t="s">
        <v>42</v>
      </c>
      <c r="D69" s="20" t="b">
        <v>1</v>
      </c>
      <c r="E69" s="20" t="b">
        <v>1</v>
      </c>
      <c r="F69" s="20" t="b">
        <v>0</v>
      </c>
      <c r="G69" s="20" t="b">
        <v>1</v>
      </c>
      <c r="H69" s="20" t="b">
        <v>1</v>
      </c>
      <c r="I69" s="20" t="b">
        <v>1</v>
      </c>
      <c r="J69" s="20" t="b">
        <v>1</v>
      </c>
      <c r="K69" s="20" t="b">
        <v>0</v>
      </c>
      <c r="L69" s="20" t="b">
        <v>1</v>
      </c>
      <c r="M69" s="20" t="b">
        <v>0</v>
      </c>
      <c r="N69" s="20" t="b">
        <v>0</v>
      </c>
    </row>
    <row r="70" spans="1:14" x14ac:dyDescent="0.3">
      <c r="A70" s="1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</sheetData>
  <mergeCells count="16">
    <mergeCell ref="A2:A3"/>
    <mergeCell ref="A6:A7"/>
    <mergeCell ref="A65:B67"/>
    <mergeCell ref="A38:A39"/>
    <mergeCell ref="A16:A17"/>
    <mergeCell ref="A8:A9"/>
    <mergeCell ref="A10:A11"/>
    <mergeCell ref="A12:A13"/>
    <mergeCell ref="A20:A21"/>
    <mergeCell ref="A22:A23"/>
    <mergeCell ref="A24:A25"/>
    <mergeCell ref="A36:A37"/>
    <mergeCell ref="A56:A57"/>
    <mergeCell ref="A60:A61"/>
    <mergeCell ref="A62:A63"/>
    <mergeCell ref="A50:A51"/>
  </mergeCells>
  <conditionalFormatting sqref="C2:C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InputMessage="1" showErrorMessage="1" sqref="M17" xr:uid="{3D067F5A-C1B0-47E2-9708-DE19C73BC1E4}">
      <formula1>""</formula1>
    </dataValidation>
    <dataValidation type="whole" operator="greaterThan" allowBlank="1" showInputMessage="1" showErrorMessage="1" sqref="D65:N66" xr:uid="{569F6F03-640E-43C6-AC2D-F6D731A3819E}">
      <formula1>0</formula1>
    </dataValidation>
  </dataValidations>
  <pageMargins left="0.7" right="0.7" top="0.78740157499999996" bottom="0.78740157499999996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93BE6-B5F1-4BD8-BF17-6040816B3FE3}">
          <x14:formula1>
            <xm:f>Settings!$A$3:$A$7</xm:f>
          </x14:formula1>
          <xm:sqref>B2:B35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Settings</vt:lpstr>
      <vt:lpstr>Employees</vt:lpstr>
      <vt:lpstr>Employees!Druckbereich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Schmidle, Milan</cp:lastModifiedBy>
  <cp:revision/>
  <dcterms:created xsi:type="dcterms:W3CDTF">2021-05-01T07:58:25Z</dcterms:created>
  <dcterms:modified xsi:type="dcterms:W3CDTF">2026-04-16T09:20:53Z</dcterms:modified>
  <cp:category/>
  <cp:contentStatus/>
</cp:coreProperties>
</file>